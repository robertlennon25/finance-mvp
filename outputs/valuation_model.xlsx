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cals_input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ebt_setup" sheetId="4" state="visible" r:id="rId4"/>
    <sheet xmlns:r="http://schemas.openxmlformats.org/officeDocument/2006/relationships" name="sources_uses" sheetId="5" state="visible" r:id="rId5"/>
    <sheet xmlns:r="http://schemas.openxmlformats.org/officeDocument/2006/relationships" name="operating_model" sheetId="6" state="visible" r:id="rId6"/>
    <sheet xmlns:r="http://schemas.openxmlformats.org/officeDocument/2006/relationships" name="debt_schedule" sheetId="7" state="visible" r:id="rId7"/>
    <sheet xmlns:r="http://schemas.openxmlformats.org/officeDocument/2006/relationships" name="return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ies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dense_mod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0.00x"/>
    <numFmt numFmtId="167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LBO Model Summary</t>
        </is>
      </c>
    </row>
    <row r="2"/>
    <row r="3">
      <c r="A3" t="inlineStr">
        <is>
          <t>Company</t>
        </is>
      </c>
      <c r="B3">
        <f>'historicals_input'!$B11</f>
        <v/>
      </c>
    </row>
    <row r="4"/>
    <row r="5">
      <c r="A5" s="2" t="inlineStr">
        <is>
          <t>Key Outputs</t>
        </is>
      </c>
    </row>
    <row r="6">
      <c r="A6" s="3" t="inlineStr">
        <is>
          <t>Metric</t>
        </is>
      </c>
      <c r="B6" s="3" t="inlineStr">
        <is>
          <t>Value</t>
        </is>
      </c>
    </row>
    <row r="7">
      <c r="A7" t="inlineStr">
        <is>
          <t>Entry EV</t>
        </is>
      </c>
      <c r="B7">
        <f>'returns'!$B4</f>
        <v/>
      </c>
    </row>
    <row r="8">
      <c r="A8" t="inlineStr">
        <is>
          <t>Sponsor Equity</t>
        </is>
      </c>
      <c r="B8">
        <f>'returns'!$B9</f>
        <v/>
      </c>
    </row>
    <row r="9">
      <c r="A9" t="inlineStr">
        <is>
          <t>Exit EV</t>
        </is>
      </c>
      <c r="B9">
        <f>'returns'!$B13</f>
        <v/>
      </c>
    </row>
    <row r="10">
      <c r="A10" t="inlineStr">
        <is>
          <t>Exit Equity</t>
        </is>
      </c>
      <c r="B10">
        <f>'returns'!$B22</f>
        <v/>
      </c>
    </row>
    <row r="11">
      <c r="A11" t="inlineStr">
        <is>
          <t>MOIC</t>
        </is>
      </c>
      <c r="B11">
        <f>'returns'!$B23</f>
        <v/>
      </c>
    </row>
    <row r="12">
      <c r="A12" t="inlineStr">
        <is>
          <t>IRR</t>
        </is>
      </c>
      <c r="B12">
        <f>'returns'!$B24</f>
        <v/>
      </c>
    </row>
    <row r="13">
      <c r="A13" t="inlineStr">
        <is>
          <t>DCF Share Price</t>
        </is>
      </c>
      <c r="B13">
        <f>'valuation'!$E21</f>
        <v/>
      </c>
    </row>
    <row r="14"/>
    <row r="15"/>
    <row r="16">
      <c r="A16" s="2" t="inlineStr">
        <is>
          <t>Model Status</t>
        </is>
      </c>
    </row>
    <row r="17">
      <c r="A17" t="inlineStr">
        <is>
          <t>Pass Count</t>
        </is>
      </c>
      <c r="B17">
        <f>COUNTIF(checks!C4:C13,"PASS")</f>
        <v/>
      </c>
    </row>
    <row r="18">
      <c r="A18" t="inlineStr">
        <is>
          <t>Fail Count</t>
        </is>
      </c>
      <c r="B18">
        <f>COUNTIF(checks!C4:C13,"FAIL")</f>
        <v/>
      </c>
    </row>
    <row r="19"/>
    <row r="20">
      <c r="A20" s="2" t="inlineStr">
        <is>
          <t>Workbook Tabs</t>
        </is>
      </c>
    </row>
    <row r="21">
      <c r="A21" t="inlineStr">
        <is>
          <t>cover</t>
        </is>
      </c>
    </row>
    <row r="22">
      <c r="A22" t="inlineStr">
        <is>
          <t>historicals_input</t>
        </is>
      </c>
    </row>
    <row r="23">
      <c r="A23" t="inlineStr">
        <is>
          <t>assumptions</t>
        </is>
      </c>
    </row>
    <row r="24">
      <c r="A24" t="inlineStr">
        <is>
          <t>debt_setup</t>
        </is>
      </c>
    </row>
    <row r="25">
      <c r="A25" t="inlineStr">
        <is>
          <t>sources_uses</t>
        </is>
      </c>
    </row>
    <row r="26">
      <c r="A26" t="inlineStr">
        <is>
          <t>operating_model</t>
        </is>
      </c>
    </row>
    <row r="27">
      <c r="A27" t="inlineStr">
        <is>
          <t>debt_schedule</t>
        </is>
      </c>
    </row>
    <row r="28">
      <c r="A28" t="inlineStr">
        <is>
          <t>returns</t>
        </is>
      </c>
    </row>
    <row r="29">
      <c r="A29" t="inlineStr">
        <is>
          <t>valuation</t>
        </is>
      </c>
    </row>
    <row r="30">
      <c r="A30" t="inlineStr">
        <is>
          <t>sensitivities</t>
        </is>
      </c>
    </row>
    <row r="31">
      <c r="A31" t="inlineStr">
        <is>
          <t>checks</t>
        </is>
      </c>
    </row>
    <row r="32">
      <c r="A32" t="inlineStr">
        <is>
          <t>dense_model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9" customWidth="1" min="3" max="3"/>
    <col width="21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Historicals &amp; Input</t>
        </is>
      </c>
    </row>
    <row r="2"/>
    <row r="3">
      <c r="A3" s="2" t="inlineStr">
        <is>
          <t>Historical Financials</t>
        </is>
      </c>
    </row>
    <row r="4">
      <c r="A4" s="3" t="inlineStr">
        <is>
          <t>Year</t>
        </is>
      </c>
      <c r="B4" s="3" t="inlineStr">
        <is>
          <t>Revenue</t>
        </is>
      </c>
      <c r="C4" s="3" t="inlineStr">
        <is>
          <t>EBITDA</t>
        </is>
      </c>
      <c r="D4" s="3" t="inlineStr">
        <is>
          <t>EBITDA Margin</t>
        </is>
      </c>
      <c r="E4" s="3" t="inlineStr">
        <is>
          <t>Capex</t>
        </is>
      </c>
      <c r="F4" s="3" t="inlineStr">
        <is>
          <t>D&amp;A</t>
        </is>
      </c>
      <c r="G4" s="3" t="inlineStr">
        <is>
          <t>NWC</t>
        </is>
      </c>
    </row>
    <row r="5">
      <c r="A5" t="n">
        <v>2022</v>
      </c>
      <c r="B5" s="4" t="n">
        <v>27083900226.75737</v>
      </c>
      <c r="C5" s="4" t="n">
        <v>7022947845.804989</v>
      </c>
      <c r="D5" s="5" t="n">
        <v>0.2593034159410583</v>
      </c>
      <c r="E5" s="4" t="n">
        <v>487510204.0816326</v>
      </c>
      <c r="F5" s="4" t="n">
        <v>541678004.5351474</v>
      </c>
      <c r="G5" s="4" t="n">
        <v>270839002.2675737</v>
      </c>
    </row>
    <row r="6">
      <c r="A6" t="n">
        <v>2023</v>
      </c>
      <c r="B6" s="4" t="n">
        <v>28438095238.09524</v>
      </c>
      <c r="C6" s="4" t="n">
        <v>7658476190.476191</v>
      </c>
      <c r="D6" s="5" t="n">
        <v>0.2693034159410583</v>
      </c>
      <c r="E6" s="4" t="n">
        <v>511885714.2857143</v>
      </c>
      <c r="F6" s="4" t="n">
        <v>568761904.7619047</v>
      </c>
      <c r="G6" s="4" t="n">
        <v>284380952.3809524</v>
      </c>
    </row>
    <row r="7">
      <c r="A7" t="n">
        <v>2024</v>
      </c>
      <c r="B7" s="4" t="n">
        <v>29860000000</v>
      </c>
      <c r="C7" s="4" t="n">
        <v>8340000000</v>
      </c>
      <c r="D7" s="5" t="n">
        <v>0.2793034159410583</v>
      </c>
      <c r="E7" s="4" t="n">
        <v>537480000</v>
      </c>
      <c r="F7" s="4" t="n">
        <v>597200000</v>
      </c>
      <c r="G7" s="4" t="n">
        <v>298600000</v>
      </c>
    </row>
    <row r="8"/>
    <row r="9"/>
    <row r="10">
      <c r="A10" s="2" t="inlineStr">
        <is>
          <t>Core Inputs</t>
        </is>
      </c>
    </row>
    <row r="11">
      <c r="A11" t="inlineStr">
        <is>
          <t>Company Name</t>
        </is>
      </c>
      <c r="B11" t="inlineStr">
        <is>
          <t>Example Media Company</t>
        </is>
      </c>
    </row>
    <row r="12">
      <c r="A12" t="inlineStr">
        <is>
          <t>Shares Outstanding</t>
        </is>
      </c>
      <c r="B12" s="4" t="n">
        <v>783800000</v>
      </c>
    </row>
    <row r="13">
      <c r="A13" t="inlineStr">
        <is>
          <t>Entry EBITDA</t>
        </is>
      </c>
      <c r="B13" s="4" t="n">
        <v>8340000000</v>
      </c>
    </row>
    <row r="14">
      <c r="A14" t="inlineStr">
        <is>
          <t>Entry Multiple</t>
        </is>
      </c>
      <c r="B14" s="6" t="n">
        <v>10</v>
      </c>
    </row>
    <row r="15">
      <c r="A15" t="inlineStr">
        <is>
          <t>Debt-Free Acquisition (0/1)</t>
        </is>
      </c>
      <c r="B15" s="7" t="n">
        <v>0</v>
      </c>
    </row>
    <row r="16">
      <c r="A16" t="inlineStr">
        <is>
          <t>Existing Debt</t>
        </is>
      </c>
      <c r="B16" s="4" t="n">
        <v>23336000000</v>
      </c>
    </row>
    <row r="17">
      <c r="A17" t="inlineStr">
        <is>
          <t>Existing Cash</t>
        </is>
      </c>
      <c r="B17" s="4" t="n">
        <v>1000000000</v>
      </c>
    </row>
    <row r="18">
      <c r="A18" t="inlineStr">
        <is>
          <t>Transaction Fee %</t>
        </is>
      </c>
      <c r="B18" s="5" t="n">
        <v>0.02</v>
      </c>
    </row>
    <row r="19">
      <c r="A19" t="inlineStr">
        <is>
          <t>Financing Fee %</t>
        </is>
      </c>
      <c r="B19" s="5" t="n">
        <v>0.01</v>
      </c>
    </row>
    <row r="20">
      <c r="A20" t="inlineStr">
        <is>
          <t>OID %</t>
        </is>
      </c>
      <c r="B20" s="5" t="n">
        <v>0.02</v>
      </c>
    </row>
    <row r="21">
      <c r="A21" t="inlineStr">
        <is>
          <t>Management Rollover %</t>
        </is>
      </c>
      <c r="B21" s="5" t="n">
        <v>0</v>
      </c>
    </row>
    <row r="22">
      <c r="A22" t="inlineStr">
        <is>
          <t>Minimum Cash Balance</t>
        </is>
      </c>
      <c r="B22" s="4" t="n">
        <v>50000000</v>
      </c>
    </row>
    <row r="23"/>
    <row r="24">
      <c r="A24" s="2" t="inlineStr">
        <is>
          <t>Financing Assumptions</t>
        </is>
      </c>
    </row>
    <row r="25">
      <c r="A25" t="inlineStr">
        <is>
          <t>Senior Debt / EBITDA</t>
        </is>
      </c>
      <c r="B25" s="6" t="n">
        <v>4</v>
      </c>
    </row>
    <row r="26">
      <c r="A26" t="inlineStr">
        <is>
          <t>Sub Debt / EBITDA</t>
        </is>
      </c>
      <c r="B26" s="6" t="n">
        <v>1</v>
      </c>
    </row>
    <row r="27">
      <c r="A27" t="inlineStr">
        <is>
          <t>Senior Interest Rate</t>
        </is>
      </c>
      <c r="B27" s="5" t="n">
        <v>0.06</v>
      </c>
    </row>
    <row r="28">
      <c r="A28" t="inlineStr">
        <is>
          <t>Senior Term %</t>
        </is>
      </c>
      <c r="B28" s="5" t="n">
        <v>0.7</v>
      </c>
    </row>
    <row r="29">
      <c r="A29" t="inlineStr">
        <is>
          <t>Senior TLA %</t>
        </is>
      </c>
      <c r="B29" s="5" t="n">
        <v>0.4</v>
      </c>
    </row>
    <row r="30">
      <c r="A30" t="inlineStr">
        <is>
          <t>Senior TLB %</t>
        </is>
      </c>
      <c r="B30" s="5" t="n">
        <v>0.6</v>
      </c>
    </row>
    <row r="31">
      <c r="A31" t="inlineStr">
        <is>
          <t>Sub Interest Rate</t>
        </is>
      </c>
      <c r="B31" s="5" t="n">
        <v>0.08</v>
      </c>
    </row>
    <row r="32">
      <c r="A32" t="inlineStr">
        <is>
          <t>Sub PIK Rate</t>
        </is>
      </c>
      <c r="B32" s="5" t="n">
        <v>0</v>
      </c>
    </row>
    <row r="33">
      <c r="A33" t="inlineStr">
        <is>
          <t>Revolver Rate</t>
        </is>
      </c>
      <c r="B33" s="5" t="n">
        <v>0.07000000000000001</v>
      </c>
    </row>
    <row r="34">
      <c r="A34" t="inlineStr">
        <is>
          <t>Revolver Limit</t>
        </is>
      </c>
      <c r="B34" s="4" t="n">
        <v>6255000000</v>
      </c>
    </row>
    <row r="35">
      <c r="A35" t="inlineStr">
        <is>
          <t>Senior Amortization %</t>
        </is>
      </c>
      <c r="B35" s="5" t="n">
        <v>0.05</v>
      </c>
    </row>
    <row r="36">
      <c r="A36" t="inlineStr">
        <is>
          <t>Cash Sweep %</t>
        </is>
      </c>
      <c r="B36" s="5" t="n">
        <v>1</v>
      </c>
    </row>
    <row r="37"/>
    <row r="38">
      <c r="A38" s="2" t="inlineStr">
        <is>
          <t>Valuation Assumptions</t>
        </is>
      </c>
    </row>
    <row r="39">
      <c r="A39" t="inlineStr">
        <is>
          <t>Tax Rate</t>
        </is>
      </c>
      <c r="B39" s="5" t="n">
        <v>0.25</v>
      </c>
    </row>
    <row r="40">
      <c r="A40" t="inlineStr">
        <is>
          <t>Risk Free Rate</t>
        </is>
      </c>
      <c r="B40" s="5" t="n">
        <v>0.042</v>
      </c>
    </row>
    <row r="41">
      <c r="A41" t="inlineStr">
        <is>
          <t>Beta</t>
        </is>
      </c>
      <c r="B41" s="8" t="n">
        <v>1.2</v>
      </c>
    </row>
    <row r="42">
      <c r="A42" t="inlineStr">
        <is>
          <t>Market Risk Premium</t>
        </is>
      </c>
      <c r="B42" s="5" t="n">
        <v>0.06</v>
      </c>
    </row>
    <row r="43">
      <c r="A43" t="inlineStr">
        <is>
          <t>Cost of Debt</t>
        </is>
      </c>
      <c r="B43" s="5" t="n">
        <v>0.065</v>
      </c>
    </row>
    <row r="44">
      <c r="A44" t="inlineStr">
        <is>
          <t>Terminal Growth</t>
        </is>
      </c>
      <c r="B44" s="5" t="n">
        <v>0.025</v>
      </c>
    </row>
    <row r="45">
      <c r="A45" t="inlineStr">
        <is>
          <t>Exit Multiple</t>
        </is>
      </c>
      <c r="B45" s="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Projection Assumptions</t>
        </is>
      </c>
    </row>
    <row r="2"/>
    <row r="3">
      <c r="A3" s="2" t="inlineStr">
        <is>
          <t>Projection Assumptions by Year</t>
        </is>
      </c>
    </row>
    <row r="4">
      <c r="A4" s="3" t="inlineStr">
        <is>
          <t>Metric</t>
        </is>
      </c>
      <c r="B4" s="3" t="inlineStr">
        <is>
          <t>2025E</t>
        </is>
      </c>
      <c r="C4" s="3" t="inlineStr">
        <is>
          <t>2026E</t>
        </is>
      </c>
      <c r="D4" s="3" t="inlineStr">
        <is>
          <t>2027E</t>
        </is>
      </c>
      <c r="E4" s="3" t="inlineStr">
        <is>
          <t>2028E</t>
        </is>
      </c>
      <c r="F4" s="3" t="inlineStr">
        <is>
          <t>2029E</t>
        </is>
      </c>
    </row>
    <row r="5">
      <c r="A5" t="inlineStr">
        <is>
          <t>Revenue Growth</t>
        </is>
      </c>
      <c r="B5" s="5" t="n">
        <v>0.05</v>
      </c>
      <c r="C5" s="5" t="n">
        <v>0.05</v>
      </c>
      <c r="D5" s="5" t="n">
        <v>0.05</v>
      </c>
      <c r="E5" s="5" t="n">
        <v>0.05</v>
      </c>
      <c r="F5" s="5" t="n">
        <v>0.05</v>
      </c>
    </row>
    <row r="6">
      <c r="A6" t="inlineStr">
        <is>
          <t>EBITDA Margin</t>
        </is>
      </c>
      <c r="B6" s="5" t="n">
        <v>0.28</v>
      </c>
      <c r="C6" s="5" t="n">
        <v>0.28</v>
      </c>
      <c r="D6" s="5" t="n">
        <v>0.28</v>
      </c>
      <c r="E6" s="5" t="n">
        <v>0.28</v>
      </c>
      <c r="F6" s="5" t="n">
        <v>0.28</v>
      </c>
    </row>
    <row r="7">
      <c r="A7" t="inlineStr">
        <is>
          <t>Capex % Revenue</t>
        </is>
      </c>
      <c r="B7" s="5" t="n">
        <v>0.018</v>
      </c>
      <c r="C7" s="5" t="n">
        <v>0.018</v>
      </c>
      <c r="D7" s="5" t="n">
        <v>0.018</v>
      </c>
      <c r="E7" s="5" t="n">
        <v>0.018</v>
      </c>
      <c r="F7" s="5" t="n">
        <v>0.018</v>
      </c>
    </row>
    <row r="8">
      <c r="A8" t="inlineStr">
        <is>
          <t>D&amp;A % Revenue</t>
        </is>
      </c>
      <c r="B8" s="5" t="n">
        <v>0.02</v>
      </c>
      <c r="C8" s="5" t="n">
        <v>0.02</v>
      </c>
      <c r="D8" s="5" t="n">
        <v>0.02</v>
      </c>
      <c r="E8" s="5" t="n">
        <v>0.02</v>
      </c>
      <c r="F8" s="5" t="n">
        <v>0.02</v>
      </c>
    </row>
    <row r="9">
      <c r="A9" t="inlineStr">
        <is>
          <t>NWC % Revenue</t>
        </is>
      </c>
      <c r="B9" s="5" t="n">
        <v>0.01</v>
      </c>
      <c r="C9" s="5" t="n">
        <v>0.01</v>
      </c>
      <c r="D9" s="5" t="n">
        <v>0.01</v>
      </c>
      <c r="E9" s="5" t="n">
        <v>0.01</v>
      </c>
      <c r="F9" s="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Debt Tranche Setup</t>
        </is>
      </c>
    </row>
    <row r="2"/>
    <row r="3">
      <c r="A3" s="2" t="inlineStr">
        <is>
          <t>Debt Tranches</t>
        </is>
      </c>
    </row>
    <row r="4">
      <c r="A4" s="3" t="inlineStr">
        <is>
          <t>Metric</t>
        </is>
      </c>
      <c r="B4" s="3" t="inlineStr">
        <is>
          <t>TLA</t>
        </is>
      </c>
      <c r="C4" s="3" t="inlineStr">
        <is>
          <t>TLB</t>
        </is>
      </c>
      <c r="D4" s="3" t="inlineStr">
        <is>
          <t>Sub Notes</t>
        </is>
      </c>
      <c r="E4" s="3" t="inlineStr">
        <is>
          <t>Revolver</t>
        </is>
      </c>
    </row>
    <row r="5">
      <c r="A5" t="inlineStr">
        <is>
          <t>Target Multiple</t>
        </is>
      </c>
      <c r="B5">
        <f>'historicals_input'!$B25*'historicals_input'!$B29</f>
        <v/>
      </c>
      <c r="C5">
        <f>'historicals_input'!$B25*'historicals_input'!$B30</f>
        <v/>
      </c>
      <c r="D5">
        <f>'historicals_input'!$B26</f>
        <v/>
      </c>
      <c r="E5">
        <f>IFERROR('historicals_input'!$B34/'historicals_input'!$B13,0)</f>
        <v/>
      </c>
    </row>
    <row r="6">
      <c r="A6" t="inlineStr">
        <is>
          <t>Gross Debt</t>
        </is>
      </c>
      <c r="B6">
        <f>'historicals_input'!$B13*B5</f>
        <v/>
      </c>
      <c r="C6">
        <f>'historicals_input'!$B13*C5</f>
        <v/>
      </c>
      <c r="D6">
        <f>'historicals_input'!$B13*D5</f>
        <v/>
      </c>
      <c r="E6">
        <f>'historicals_input'!$B34</f>
        <v/>
      </c>
    </row>
    <row r="7">
      <c r="A7" t="inlineStr">
        <is>
          <t>OID %</t>
        </is>
      </c>
      <c r="B7" t="inlineStr">
        <is>
          <t>0%</t>
        </is>
      </c>
      <c r="C7">
        <f>'historicals_input'!$B20</f>
        <v/>
      </c>
      <c r="D7">
        <f>'historicals_input'!$B20</f>
        <v/>
      </c>
      <c r="E7" t="inlineStr">
        <is>
          <t>0%</t>
        </is>
      </c>
    </row>
    <row r="8">
      <c r="A8" t="inlineStr">
        <is>
          <t>Net Funding</t>
        </is>
      </c>
      <c r="B8">
        <f>B6*(1-B7)</f>
        <v/>
      </c>
      <c r="C8">
        <f>C6*(1-C7)</f>
        <v/>
      </c>
      <c r="D8">
        <f>D6*(1-D7)</f>
        <v/>
      </c>
      <c r="E8">
        <f>0</f>
        <v/>
      </c>
    </row>
    <row r="9">
      <c r="A9" t="inlineStr">
        <is>
          <t>Cash Interest Rate</t>
        </is>
      </c>
      <c r="B9">
        <f>'historicals_input'!$B27</f>
        <v/>
      </c>
      <c r="C9">
        <f>'historicals_input'!$B27</f>
        <v/>
      </c>
      <c r="D9">
        <f>'historicals_input'!$B31</f>
        <v/>
      </c>
      <c r="E9">
        <f>'historicals_input'!$B33</f>
        <v/>
      </c>
    </row>
    <row r="10">
      <c r="A10" t="inlineStr">
        <is>
          <t>PIK Rate</t>
        </is>
      </c>
      <c r="B10" t="inlineStr">
        <is>
          <t>0%</t>
        </is>
      </c>
      <c r="C10" t="inlineStr">
        <is>
          <t>0%</t>
        </is>
      </c>
      <c r="D10">
        <f>'historicals_input'!$B32</f>
        <v/>
      </c>
      <c r="E10" t="inlineStr">
        <is>
          <t>0%</t>
        </is>
      </c>
    </row>
    <row r="11">
      <c r="A11" t="inlineStr">
        <is>
          <t>Amortization %</t>
        </is>
      </c>
      <c r="B11">
        <f>'historicals_input'!$B35</f>
        <v/>
      </c>
      <c r="C11" t="inlineStr">
        <is>
          <t>0%</t>
        </is>
      </c>
      <c r="D11" t="inlineStr">
        <is>
          <t>0%</t>
        </is>
      </c>
      <c r="E11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" customWidth="1" min="3" max="3"/>
    <col width="26" customWidth="1" min="4" max="4"/>
    <col width="26" customWidth="1" min="5" max="5"/>
  </cols>
  <sheetData>
    <row r="1">
      <c r="A1" s="1" t="inlineStr">
        <is>
          <t>Sources &amp; Uses</t>
        </is>
      </c>
    </row>
    <row r="2"/>
    <row r="3">
      <c r="A3" s="2" t="inlineStr">
        <is>
          <t>Uses</t>
        </is>
      </c>
      <c r="D3" s="2" t="inlineStr">
        <is>
          <t>Capital Structure Bridge</t>
        </is>
      </c>
    </row>
    <row r="4">
      <c r="A4" s="3" t="inlineStr">
        <is>
          <t>Line Item</t>
        </is>
      </c>
      <c r="B4" s="3" t="inlineStr">
        <is>
          <t>Amount</t>
        </is>
      </c>
      <c r="D4" s="3" t="inlineStr">
        <is>
          <t>Metric</t>
        </is>
      </c>
      <c r="E4" s="3" t="inlineStr">
        <is>
          <t>Value</t>
        </is>
      </c>
    </row>
    <row r="5">
      <c r="A5" t="inlineStr">
        <is>
          <t>Purchase Price</t>
        </is>
      </c>
      <c r="B5" s="4">
        <f>'historicals_input'!$B13*'historicals_input'!$B14</f>
        <v/>
      </c>
      <c r="D5" t="inlineStr">
        <is>
          <t>Gross TLA</t>
        </is>
      </c>
      <c r="E5" s="4">
        <f>'debt_setup'!$B6</f>
        <v/>
      </c>
    </row>
    <row r="6">
      <c r="A6" t="inlineStr">
        <is>
          <t>Refinance Existing Debt</t>
        </is>
      </c>
      <c r="B6" s="4">
        <f>(1-'historicals_input'!$B15)*'historicals_input'!$B16</f>
        <v/>
      </c>
      <c r="D6" t="inlineStr">
        <is>
          <t>Gross TLB</t>
        </is>
      </c>
      <c r="E6" s="4">
        <f>'debt_setup'!$C6</f>
        <v/>
      </c>
    </row>
    <row r="7">
      <c r="A7" t="inlineStr">
        <is>
          <t>Transaction Fees</t>
        </is>
      </c>
      <c r="B7" s="4">
        <f>B5*'historicals_input'!$B18</f>
        <v/>
      </c>
      <c r="D7" t="inlineStr">
        <is>
          <t>Gross Sub</t>
        </is>
      </c>
      <c r="E7" s="4">
        <f>'debt_setup'!$D6</f>
        <v/>
      </c>
    </row>
    <row r="8">
      <c r="A8" t="inlineStr">
        <is>
          <t>Financing Fees</t>
        </is>
      </c>
      <c r="B8" s="4">
        <f>('debt_setup'!$B6+'debt_setup'!$C6+'debt_setup'!$D6)*'historicals_input'!$B19</f>
        <v/>
      </c>
      <c r="D8" t="inlineStr">
        <is>
          <t>OID Discount</t>
        </is>
      </c>
      <c r="E8" s="4">
        <f>SUM(E5:E7)-SUM(B14:B16)</f>
        <v/>
      </c>
    </row>
    <row r="9">
      <c r="A9" t="inlineStr">
        <is>
          <t>Minimum Cash</t>
        </is>
      </c>
      <c r="B9" s="4">
        <f>'historicals_input'!$B22</f>
        <v/>
      </c>
      <c r="D9" t="inlineStr">
        <is>
          <t>Total Net New Debt</t>
        </is>
      </c>
      <c r="E9" s="4">
        <f>SUM(B14:B16)</f>
        <v/>
      </c>
    </row>
    <row r="10">
      <c r="A10" t="inlineStr">
        <is>
          <t>Total Uses</t>
        </is>
      </c>
      <c r="B10" s="4">
        <f>SUM(B5:B9)</f>
        <v/>
      </c>
    </row>
    <row r="11"/>
    <row r="12">
      <c r="A12" s="2" t="inlineStr">
        <is>
          <t>Sources</t>
        </is>
      </c>
    </row>
    <row r="13">
      <c r="A13" s="3" t="inlineStr">
        <is>
          <t>Line Item</t>
        </is>
      </c>
      <c r="B13" s="3" t="inlineStr">
        <is>
          <t>Amount</t>
        </is>
      </c>
    </row>
    <row r="14">
      <c r="A14" t="inlineStr">
        <is>
          <t>TLA Net Debt</t>
        </is>
      </c>
      <c r="B14" s="4">
        <f>'debt_setup'!$B8</f>
        <v/>
      </c>
    </row>
    <row r="15">
      <c r="A15" t="inlineStr">
        <is>
          <t>TLB Net Debt</t>
        </is>
      </c>
      <c r="B15" s="4">
        <f>'debt_setup'!$C8</f>
        <v/>
      </c>
    </row>
    <row r="16">
      <c r="A16" t="inlineStr">
        <is>
          <t>Sub Debt</t>
        </is>
      </c>
      <c r="B16" s="4">
        <f>'debt_setup'!$D8</f>
        <v/>
      </c>
    </row>
    <row r="17">
      <c r="A17" t="inlineStr">
        <is>
          <t>Existing Cash</t>
        </is>
      </c>
      <c r="B17" s="4">
        <f>'historicals_input'!$B17</f>
        <v/>
      </c>
    </row>
    <row r="18">
      <c r="A18" t="inlineStr">
        <is>
          <t>Management Rollover</t>
        </is>
      </c>
      <c r="B18" s="4">
        <f>B5*'historicals_input'!$B21</f>
        <v/>
      </c>
    </row>
    <row r="19">
      <c r="A19" t="inlineStr">
        <is>
          <t>Sponsor Equity</t>
        </is>
      </c>
      <c r="B19" s="4">
        <f>B10-SUM(B14:B18)</f>
        <v/>
      </c>
    </row>
    <row r="20">
      <c r="A20" t="inlineStr">
        <is>
          <t>Total Sources</t>
        </is>
      </c>
      <c r="B20" s="4">
        <f>SUM(B14:B19)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" customWidth="1" min="7" max="7"/>
    <col width="26" customWidth="1" min="8" max="8"/>
  </cols>
  <sheetData>
    <row r="1">
      <c r="A1" s="1" t="inlineStr">
        <is>
          <t>Operating Model</t>
        </is>
      </c>
    </row>
    <row r="2"/>
    <row r="3">
      <c r="A3" s="3" t="inlineStr">
        <is>
          <t>Metric</t>
        </is>
      </c>
      <c r="B3" s="3" t="inlineStr">
        <is>
          <t>2025E</t>
        </is>
      </c>
      <c r="C3" s="3" t="inlineStr">
        <is>
          <t>2026E</t>
        </is>
      </c>
      <c r="D3" s="3" t="inlineStr">
        <is>
          <t>2027E</t>
        </is>
      </c>
      <c r="E3" s="3" t="inlineStr">
        <is>
          <t>2028E</t>
        </is>
      </c>
      <c r="F3" s="3" t="inlineStr">
        <is>
          <t>2029E</t>
        </is>
      </c>
      <c r="H3" s="2" t="inlineStr">
        <is>
          <t>Notes</t>
        </is>
      </c>
    </row>
    <row r="4">
      <c r="A4" t="inlineStr">
        <is>
          <t>revenue</t>
        </is>
      </c>
      <c r="B4" s="4">
        <f>'historicals_input'!$B7*(1+'assumptions'!$B5)</f>
        <v/>
      </c>
      <c r="C4" s="4">
        <f>B4*(1+'assumptions'!$C5)</f>
        <v/>
      </c>
      <c r="D4" s="4">
        <f>C4*(1+'assumptions'!$D5)</f>
        <v/>
      </c>
      <c r="E4" s="4">
        <f>D4*(1+'assumptions'!$E5)</f>
        <v/>
      </c>
      <c r="F4" s="4">
        <f>E4*(1+'assumptions'!$F5)</f>
        <v/>
      </c>
      <c r="H4" t="inlineStr">
        <is>
          <t>Excel is the source of truth. Python outputs are only safety checks.</t>
        </is>
      </c>
    </row>
    <row r="5">
      <c r="A5" t="inlineStr">
        <is>
          <t>growth</t>
        </is>
      </c>
      <c r="B5" s="5">
        <f>'assumptions'!$B5</f>
        <v/>
      </c>
      <c r="C5" s="5">
        <f>'assumptions'!$C5</f>
        <v/>
      </c>
      <c r="D5" s="5">
        <f>'assumptions'!$D5</f>
        <v/>
      </c>
      <c r="E5" s="5">
        <f>'assumptions'!$E5</f>
        <v/>
      </c>
      <c r="F5" s="5">
        <f>'assumptions'!$F5</f>
        <v/>
      </c>
    </row>
    <row r="6">
      <c r="A6" t="inlineStr">
        <is>
          <t>ebitda_margin</t>
        </is>
      </c>
      <c r="B6" s="5">
        <f>'assumptions'!$B6</f>
        <v/>
      </c>
      <c r="C6" s="5">
        <f>'assumptions'!$C6</f>
        <v/>
      </c>
      <c r="D6" s="5">
        <f>'assumptions'!$D6</f>
        <v/>
      </c>
      <c r="E6" s="5">
        <f>'assumptions'!$E6</f>
        <v/>
      </c>
      <c r="F6" s="5">
        <f>'assumptions'!$F6</f>
        <v/>
      </c>
    </row>
    <row r="7">
      <c r="A7" t="inlineStr">
        <is>
          <t>ebitda</t>
        </is>
      </c>
      <c r="B7" s="4">
        <f>B4*B6</f>
        <v/>
      </c>
      <c r="C7" s="4">
        <f>C4*C6</f>
        <v/>
      </c>
      <c r="D7" s="4">
        <f>D4*D6</f>
        <v/>
      </c>
      <c r="E7" s="4">
        <f>E4*E6</f>
        <v/>
      </c>
      <c r="F7" s="4">
        <f>F4*F6</f>
        <v/>
      </c>
    </row>
    <row r="8">
      <c r="A8" t="inlineStr">
        <is>
          <t>da_pct</t>
        </is>
      </c>
      <c r="B8" s="5">
        <f>'assumptions'!$B8</f>
        <v/>
      </c>
      <c r="C8" s="5">
        <f>'assumptions'!$C8</f>
        <v/>
      </c>
      <c r="D8" s="5">
        <f>'assumptions'!$D8</f>
        <v/>
      </c>
      <c r="E8" s="5">
        <f>'assumptions'!$E8</f>
        <v/>
      </c>
      <c r="F8" s="5">
        <f>'assumptions'!$F8</f>
        <v/>
      </c>
    </row>
    <row r="9">
      <c r="A9" t="inlineStr">
        <is>
          <t>da</t>
        </is>
      </c>
      <c r="B9" s="4">
        <f>B4*B8</f>
        <v/>
      </c>
      <c r="C9" s="4">
        <f>C4*C8</f>
        <v/>
      </c>
      <c r="D9" s="4">
        <f>D4*D8</f>
        <v/>
      </c>
      <c r="E9" s="4">
        <f>E4*E8</f>
        <v/>
      </c>
      <c r="F9" s="4">
        <f>F4*F8</f>
        <v/>
      </c>
    </row>
    <row r="10">
      <c r="A10" t="inlineStr">
        <is>
          <t>ebit</t>
        </is>
      </c>
      <c r="B10" s="4">
        <f>B7-B9</f>
        <v/>
      </c>
      <c r="C10" s="4">
        <f>C7-C9</f>
        <v/>
      </c>
      <c r="D10" s="4">
        <f>D7-D9</f>
        <v/>
      </c>
      <c r="E10" s="4">
        <f>E7-E9</f>
        <v/>
      </c>
      <c r="F10" s="4">
        <f>F7-F9</f>
        <v/>
      </c>
    </row>
    <row r="11">
      <c r="A11" t="inlineStr">
        <is>
          <t>taxes</t>
        </is>
      </c>
      <c r="B11" s="4">
        <f>B10*'historicals_input'!$B39</f>
        <v/>
      </c>
      <c r="C11" s="4">
        <f>C10*'historicals_input'!$B39</f>
        <v/>
      </c>
      <c r="D11" s="4">
        <f>D10*'historicals_input'!$B39</f>
        <v/>
      </c>
      <c r="E11" s="4">
        <f>E10*'historicals_input'!$B39</f>
        <v/>
      </c>
      <c r="F11" s="4">
        <f>F10*'historicals_input'!$B39</f>
        <v/>
      </c>
    </row>
    <row r="12">
      <c r="A12" t="inlineStr">
        <is>
          <t>capex_pct</t>
        </is>
      </c>
      <c r="B12" s="5">
        <f>'assumptions'!$B7</f>
        <v/>
      </c>
      <c r="C12" s="5">
        <f>'assumptions'!$C7</f>
        <v/>
      </c>
      <c r="D12" s="5">
        <f>'assumptions'!$D7</f>
        <v/>
      </c>
      <c r="E12" s="5">
        <f>'assumptions'!$E7</f>
        <v/>
      </c>
      <c r="F12" s="5">
        <f>'assumptions'!$F7</f>
        <v/>
      </c>
    </row>
    <row r="13">
      <c r="A13" t="inlineStr">
        <is>
          <t>capex</t>
        </is>
      </c>
      <c r="B13" s="4">
        <f>B4*B12</f>
        <v/>
      </c>
      <c r="C13" s="4">
        <f>C4*C12</f>
        <v/>
      </c>
      <c r="D13" s="4">
        <f>D4*D12</f>
        <v/>
      </c>
      <c r="E13" s="4">
        <f>E4*E12</f>
        <v/>
      </c>
      <c r="F13" s="4">
        <f>F4*F12</f>
        <v/>
      </c>
    </row>
    <row r="14">
      <c r="A14" t="inlineStr">
        <is>
          <t>nwc_pct</t>
        </is>
      </c>
      <c r="B14" s="5">
        <f>'assumptions'!$B9</f>
        <v/>
      </c>
      <c r="C14" s="5">
        <f>'assumptions'!$C9</f>
        <v/>
      </c>
      <c r="D14" s="5">
        <f>'assumptions'!$D9</f>
        <v/>
      </c>
      <c r="E14" s="5">
        <f>'assumptions'!$E9</f>
        <v/>
      </c>
      <c r="F14" s="5">
        <f>'assumptions'!$F9</f>
        <v/>
      </c>
    </row>
    <row r="15">
      <c r="A15" t="inlineStr">
        <is>
          <t>nwc_balance</t>
        </is>
      </c>
      <c r="B15" s="4">
        <f>B4*B14</f>
        <v/>
      </c>
      <c r="C15" s="4">
        <f>C4*C14</f>
        <v/>
      </c>
      <c r="D15" s="4">
        <f>D4*D14</f>
        <v/>
      </c>
      <c r="E15" s="4">
        <f>E4*E14</f>
        <v/>
      </c>
      <c r="F15" s="4">
        <f>F4*F14</f>
        <v/>
      </c>
    </row>
    <row r="16">
      <c r="A16" t="inlineStr">
        <is>
          <t>delta_nwc</t>
        </is>
      </c>
      <c r="B16" s="4">
        <f>B15-'historicals_input'!$G7</f>
        <v/>
      </c>
      <c r="C16" s="4">
        <f>C15-B15</f>
        <v/>
      </c>
      <c r="D16" s="4">
        <f>D15-C15</f>
        <v/>
      </c>
      <c r="E16" s="4">
        <f>E15-D15</f>
        <v/>
      </c>
      <c r="F16" s="4">
        <f>F15-E15</f>
        <v/>
      </c>
    </row>
    <row r="17">
      <c r="A17" t="inlineStr">
        <is>
          <t>ufcf</t>
        </is>
      </c>
      <c r="B17" s="4">
        <f>B10-B11+B9-B13-B16</f>
        <v/>
      </c>
      <c r="C17" s="4">
        <f>C10-C11+C9-C13-C16</f>
        <v/>
      </c>
      <c r="D17" s="4">
        <f>D10-D11+D9-D13-D16</f>
        <v/>
      </c>
      <c r="E17" s="4">
        <f>E10-E11+E9-E13-E16</f>
        <v/>
      </c>
      <c r="F17" s="4">
        <f>F10-F11+F9-F13-F16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23" customWidth="1" min="4" max="4"/>
    <col width="22" customWidth="1" min="5" max="5"/>
    <col width="14" customWidth="1" min="6" max="6"/>
    <col width="25" customWidth="1" min="7" max="7"/>
    <col width="22" customWidth="1" min="8" max="8"/>
    <col width="22" customWidth="1" min="9" max="9"/>
    <col width="26" customWidth="1" min="10" max="10"/>
    <col width="26" customWidth="1" min="11" max="11"/>
    <col width="26" customWidth="1" min="12" max="12"/>
    <col width="23" customWidth="1" min="13" max="13"/>
    <col width="26" customWidth="1" min="14" max="14"/>
    <col width="26" customWidth="1" min="15" max="15"/>
    <col width="21" customWidth="1" min="16" max="16"/>
    <col width="26" customWidth="1" min="17" max="17"/>
    <col width="13" customWidth="1" min="18" max="18"/>
    <col width="26" customWidth="1" min="19" max="19"/>
    <col width="26" customWidth="1" min="20" max="20"/>
    <col width="26" customWidth="1" min="21" max="21"/>
    <col width="26" customWidth="1" min="22" max="22"/>
    <col width="17" customWidth="1" min="23" max="23"/>
    <col width="18" customWidth="1" min="24" max="24"/>
    <col width="15" customWidth="1" min="25" max="25"/>
    <col width="18" customWidth="1" min="26" max="26"/>
    <col width="18" customWidth="1" min="27" max="27"/>
  </cols>
  <sheetData>
    <row r="1">
      <c r="A1" s="1" t="inlineStr">
        <is>
          <t>Debt Schedule</t>
        </is>
      </c>
    </row>
    <row r="2"/>
    <row r="3">
      <c r="A3" s="3" t="inlineStr">
        <is>
          <t>Year</t>
        </is>
      </c>
      <c r="B3" s="3" t="inlineStr">
        <is>
          <t>Beg Cash</t>
        </is>
      </c>
      <c r="C3" s="3" t="inlineStr">
        <is>
          <t>Beg TLA</t>
        </is>
      </c>
      <c r="D3" s="3" t="inlineStr">
        <is>
          <t>Beg TLB</t>
        </is>
      </c>
      <c r="E3" s="3" t="inlineStr">
        <is>
          <t>Beg Sub</t>
        </is>
      </c>
      <c r="F3" s="3" t="inlineStr">
        <is>
          <t>Beg Revolver</t>
        </is>
      </c>
      <c r="G3" s="3" t="inlineStr">
        <is>
          <t>UFCF</t>
        </is>
      </c>
      <c r="H3" s="3" t="inlineStr">
        <is>
          <t>TLA Interest</t>
        </is>
      </c>
      <c r="I3" s="3" t="inlineStr">
        <is>
          <t>TLB Interest</t>
        </is>
      </c>
      <c r="J3" s="3" t="inlineStr">
        <is>
          <t>Sub Cash Interest</t>
        </is>
      </c>
      <c r="K3" s="3" t="inlineStr">
        <is>
          <t>Sub PIK</t>
        </is>
      </c>
      <c r="L3" s="3" t="inlineStr">
        <is>
          <t>Revolver Interest</t>
        </is>
      </c>
      <c r="M3" s="3" t="inlineStr">
        <is>
          <t>Cash Pre Debt Service</t>
        </is>
      </c>
      <c r="N3" s="3" t="inlineStr">
        <is>
          <t>TLA Mandatory</t>
        </is>
      </c>
      <c r="O3" s="3" t="inlineStr">
        <is>
          <t>Revolver Repay</t>
        </is>
      </c>
      <c r="P3" s="3" t="inlineStr">
        <is>
          <t>Cash Post Mandatory</t>
        </is>
      </c>
      <c r="Q3" s="3" t="inlineStr">
        <is>
          <t>Cash Sweep Capacity</t>
        </is>
      </c>
      <c r="R3" s="3" t="inlineStr">
        <is>
          <t>TLB Sweep</t>
        </is>
      </c>
      <c r="S3" s="3" t="inlineStr">
        <is>
          <t>TLA Sweep</t>
        </is>
      </c>
      <c r="T3" s="3" t="inlineStr">
        <is>
          <t>Sub Sweep</t>
        </is>
      </c>
      <c r="U3" s="3" t="inlineStr">
        <is>
          <t>Revolver Draw</t>
        </is>
      </c>
      <c r="V3" s="3" t="inlineStr">
        <is>
          <t>Liquidity Shortfall</t>
        </is>
      </c>
      <c r="W3" s="3" t="inlineStr">
        <is>
          <t>End Cash</t>
        </is>
      </c>
      <c r="X3" s="3" t="inlineStr">
        <is>
          <t>End TLA</t>
        </is>
      </c>
      <c r="Y3" s="3" t="inlineStr">
        <is>
          <t>End TLB</t>
        </is>
      </c>
      <c r="Z3" s="3" t="inlineStr">
        <is>
          <t>End Sub</t>
        </is>
      </c>
      <c r="AA3" s="3" t="inlineStr">
        <is>
          <t>End Revolver</t>
        </is>
      </c>
    </row>
    <row r="4">
      <c r="A4" t="n">
        <v>2025</v>
      </c>
      <c r="B4" s="4">
        <f>'sources_uses'!$B9</f>
        <v/>
      </c>
      <c r="C4" s="4">
        <f>'sources_uses'!$B$14</f>
        <v/>
      </c>
      <c r="D4" s="4">
        <f>'sources_uses'!$B$15</f>
        <v/>
      </c>
      <c r="E4" s="4">
        <f>'sources_uses'!$B16</f>
        <v/>
      </c>
      <c r="F4" s="4" t="n">
        <v>0</v>
      </c>
      <c r="G4" s="4">
        <f>'operating_model'!$B17</f>
        <v/>
      </c>
      <c r="H4" s="4">
        <f>C4*'debt_setup'!$B9</f>
        <v/>
      </c>
      <c r="I4" s="4">
        <f>D4*'debt_setup'!$C9</f>
        <v/>
      </c>
      <c r="J4" s="4">
        <f>E4*'historicals_input'!$B31</f>
        <v/>
      </c>
      <c r="K4" s="4">
        <f>E4*'historicals_input'!$B32</f>
        <v/>
      </c>
      <c r="L4" s="4">
        <f>F4*'historicals_input'!$B33</f>
        <v/>
      </c>
      <c r="M4" s="4">
        <f>B4+G4-H4-I4-J4-L4</f>
        <v/>
      </c>
      <c r="N4" s="4">
        <f>MIN(C4*'debt_setup'!$B11,C4)</f>
        <v/>
      </c>
      <c r="O4" s="4">
        <f>MIN(MAX(M4-N4-'historicals_input'!$B22,0),F4)</f>
        <v/>
      </c>
      <c r="P4" s="4">
        <f>M4-N4-O4</f>
        <v/>
      </c>
      <c r="Q4" s="4">
        <f>MAX(P4-'historicals_input'!$B22,0)*'historicals_input'!$B36</f>
        <v/>
      </c>
      <c r="R4" s="4">
        <f>MIN(Q4,D4)</f>
        <v/>
      </c>
      <c r="S4" s="4">
        <f>MIN(MAX(Q4-R4,0),MAX(C4-N4,0))</f>
        <v/>
      </c>
      <c r="T4" s="4">
        <f>MIN(MAX(Q4-R4-S4,0),E4+K4)</f>
        <v/>
      </c>
      <c r="U4" s="4">
        <f>MIN(MAX('historicals_input'!$B22-(P4-R4-S4-T4),0),MAX('historicals_input'!$B34-F4+O4,0))</f>
        <v/>
      </c>
      <c r="V4" s="4">
        <f>MAX('historicals_input'!$B22-(P4-R4-S4-T4-U4),0)</f>
        <v/>
      </c>
      <c r="W4" s="4">
        <f>P4-R4-S4-T4+U4</f>
        <v/>
      </c>
      <c r="X4" s="4">
        <f>MAX(C4-N4-S4,0)</f>
        <v/>
      </c>
      <c r="Y4" s="4">
        <f>MAX(D4-R4,0)</f>
        <v/>
      </c>
      <c r="Z4" s="4">
        <f>MAX(E4+K4-T4,0)</f>
        <v/>
      </c>
      <c r="AA4" s="4">
        <f>MAX(F4-O4+U4,0)</f>
        <v/>
      </c>
    </row>
    <row r="5">
      <c r="A5" t="n">
        <v>2026</v>
      </c>
      <c r="B5" s="4">
        <f>U4</f>
        <v/>
      </c>
      <c r="C5" s="4">
        <f>V4</f>
        <v/>
      </c>
      <c r="D5" s="4">
        <f>W4</f>
        <v/>
      </c>
      <c r="E5" s="4">
        <f>X4</f>
        <v/>
      </c>
      <c r="F5" s="4">
        <f>Y4</f>
        <v/>
      </c>
      <c r="G5" s="4">
        <f>'operating_model'!$C17</f>
        <v/>
      </c>
      <c r="H5" s="4">
        <f>C5*'debt_setup'!$B9</f>
        <v/>
      </c>
      <c r="I5" s="4">
        <f>D5*'debt_setup'!$C9</f>
        <v/>
      </c>
      <c r="J5" s="4">
        <f>E5*'historicals_input'!$B31</f>
        <v/>
      </c>
      <c r="K5" s="4">
        <f>E5*'historicals_input'!$B32</f>
        <v/>
      </c>
      <c r="L5" s="4">
        <f>F5*'historicals_input'!$B33</f>
        <v/>
      </c>
      <c r="M5" s="4">
        <f>B5+G5-H5-I5-J5-L5</f>
        <v/>
      </c>
      <c r="N5" s="4">
        <f>MIN(C5*'debt_setup'!$B11,C5)</f>
        <v/>
      </c>
      <c r="O5" s="4">
        <f>MIN(MAX(M5-N5-'historicals_input'!$B22,0),F5)</f>
        <v/>
      </c>
      <c r="P5" s="4">
        <f>M5-N5-O5</f>
        <v/>
      </c>
      <c r="Q5" s="4">
        <f>MAX(P5-'historicals_input'!$B22,0)*'historicals_input'!$B36</f>
        <v/>
      </c>
      <c r="R5" s="4">
        <f>MIN(Q5,D5)</f>
        <v/>
      </c>
      <c r="S5" s="4">
        <f>MIN(MAX(Q5-R5,0),MAX(C5-N5,0))</f>
        <v/>
      </c>
      <c r="T5" s="4">
        <f>MIN(MAX(Q5-R5-S5,0),E5+K5)</f>
        <v/>
      </c>
      <c r="U5" s="4">
        <f>MIN(MAX('historicals_input'!$B22-(P5-R5-S5-T5),0),MAX('historicals_input'!$B34-F5+O5,0))</f>
        <v/>
      </c>
      <c r="V5" s="4">
        <f>MAX('historicals_input'!$B22-(P5-R5-S5-T5-U5),0)</f>
        <v/>
      </c>
      <c r="W5" s="4">
        <f>P5-R5-S5-T5+U5</f>
        <v/>
      </c>
      <c r="X5" s="4">
        <f>MAX(C5-N5-S5,0)</f>
        <v/>
      </c>
      <c r="Y5" s="4">
        <f>MAX(D5-R5,0)</f>
        <v/>
      </c>
      <c r="Z5" s="4">
        <f>MAX(E5+K5-T5,0)</f>
        <v/>
      </c>
      <c r="AA5" s="4">
        <f>MAX(F5-O5+U5,0)</f>
        <v/>
      </c>
    </row>
    <row r="6">
      <c r="A6" t="n">
        <v>2027</v>
      </c>
      <c r="B6" s="4">
        <f>U5</f>
        <v/>
      </c>
      <c r="C6" s="4">
        <f>V5</f>
        <v/>
      </c>
      <c r="D6" s="4">
        <f>W5</f>
        <v/>
      </c>
      <c r="E6" s="4">
        <f>X5</f>
        <v/>
      </c>
      <c r="F6" s="4">
        <f>Y5</f>
        <v/>
      </c>
      <c r="G6" s="4">
        <f>'operating_model'!$D17</f>
        <v/>
      </c>
      <c r="H6" s="4">
        <f>C6*'debt_setup'!$B9</f>
        <v/>
      </c>
      <c r="I6" s="4">
        <f>D6*'debt_setup'!$C9</f>
        <v/>
      </c>
      <c r="J6" s="4">
        <f>E6*'historicals_input'!$B31</f>
        <v/>
      </c>
      <c r="K6" s="4">
        <f>E6*'historicals_input'!$B32</f>
        <v/>
      </c>
      <c r="L6" s="4">
        <f>F6*'historicals_input'!$B33</f>
        <v/>
      </c>
      <c r="M6" s="4">
        <f>B6+G6-H6-I6-J6-L6</f>
        <v/>
      </c>
      <c r="N6" s="4">
        <f>MIN(C6*'debt_setup'!$B11,C6)</f>
        <v/>
      </c>
      <c r="O6" s="4">
        <f>MIN(MAX(M6-N6-'historicals_input'!$B22,0),F6)</f>
        <v/>
      </c>
      <c r="P6" s="4">
        <f>M6-N6-O6</f>
        <v/>
      </c>
      <c r="Q6" s="4">
        <f>MAX(P6-'historicals_input'!$B22,0)*'historicals_input'!$B36</f>
        <v/>
      </c>
      <c r="R6" s="4">
        <f>MIN(Q6,D6)</f>
        <v/>
      </c>
      <c r="S6" s="4">
        <f>MIN(MAX(Q6-R6,0),MAX(C6-N6,0))</f>
        <v/>
      </c>
      <c r="T6" s="4">
        <f>MIN(MAX(Q6-R6-S6,0),E6+K6)</f>
        <v/>
      </c>
      <c r="U6" s="4">
        <f>MIN(MAX('historicals_input'!$B22-(P6-R6-S6-T6),0),MAX('historicals_input'!$B34-F6+O6,0))</f>
        <v/>
      </c>
      <c r="V6" s="4">
        <f>MAX('historicals_input'!$B22-(P6-R6-S6-T6-U6),0)</f>
        <v/>
      </c>
      <c r="W6" s="4">
        <f>P6-R6-S6-T6+U6</f>
        <v/>
      </c>
      <c r="X6" s="4">
        <f>MAX(C6-N6-S6,0)</f>
        <v/>
      </c>
      <c r="Y6" s="4">
        <f>MAX(D6-R6,0)</f>
        <v/>
      </c>
      <c r="Z6" s="4">
        <f>MAX(E6+K6-T6,0)</f>
        <v/>
      </c>
      <c r="AA6" s="4">
        <f>MAX(F6-O6+U6,0)</f>
        <v/>
      </c>
    </row>
    <row r="7">
      <c r="A7" t="n">
        <v>2028</v>
      </c>
      <c r="B7" s="4">
        <f>U6</f>
        <v/>
      </c>
      <c r="C7" s="4">
        <f>V6</f>
        <v/>
      </c>
      <c r="D7" s="4">
        <f>W6</f>
        <v/>
      </c>
      <c r="E7" s="4">
        <f>X6</f>
        <v/>
      </c>
      <c r="F7" s="4">
        <f>Y6</f>
        <v/>
      </c>
      <c r="G7" s="4">
        <f>'operating_model'!$E17</f>
        <v/>
      </c>
      <c r="H7" s="4">
        <f>C7*'debt_setup'!$B9</f>
        <v/>
      </c>
      <c r="I7" s="4">
        <f>D7*'debt_setup'!$C9</f>
        <v/>
      </c>
      <c r="J7" s="4">
        <f>E7*'historicals_input'!$B31</f>
        <v/>
      </c>
      <c r="K7" s="4">
        <f>E7*'historicals_input'!$B32</f>
        <v/>
      </c>
      <c r="L7" s="4">
        <f>F7*'historicals_input'!$B33</f>
        <v/>
      </c>
      <c r="M7" s="4">
        <f>B7+G7-H7-I7-J7-L7</f>
        <v/>
      </c>
      <c r="N7" s="4">
        <f>MIN(C7*'debt_setup'!$B11,C7)</f>
        <v/>
      </c>
      <c r="O7" s="4">
        <f>MIN(MAX(M7-N7-'historicals_input'!$B22,0),F7)</f>
        <v/>
      </c>
      <c r="P7" s="4">
        <f>M7-N7-O7</f>
        <v/>
      </c>
      <c r="Q7" s="4">
        <f>MAX(P7-'historicals_input'!$B22,0)*'historicals_input'!$B36</f>
        <v/>
      </c>
      <c r="R7" s="4">
        <f>MIN(Q7,D7)</f>
        <v/>
      </c>
      <c r="S7" s="4">
        <f>MIN(MAX(Q7-R7,0),MAX(C7-N7,0))</f>
        <v/>
      </c>
      <c r="T7" s="4">
        <f>MIN(MAX(Q7-R7-S7,0),E7+K7)</f>
        <v/>
      </c>
      <c r="U7" s="4">
        <f>MIN(MAX('historicals_input'!$B22-(P7-R7-S7-T7),0),MAX('historicals_input'!$B34-F7+O7,0))</f>
        <v/>
      </c>
      <c r="V7" s="4">
        <f>MAX('historicals_input'!$B22-(P7-R7-S7-T7-U7),0)</f>
        <v/>
      </c>
      <c r="W7" s="4">
        <f>P7-R7-S7-T7+U7</f>
        <v/>
      </c>
      <c r="X7" s="4">
        <f>MAX(C7-N7-S7,0)</f>
        <v/>
      </c>
      <c r="Y7" s="4">
        <f>MAX(D7-R7,0)</f>
        <v/>
      </c>
      <c r="Z7" s="4">
        <f>MAX(E7+K7-T7,0)</f>
        <v/>
      </c>
      <c r="AA7" s="4">
        <f>MAX(F7-O7+U7,0)</f>
        <v/>
      </c>
    </row>
    <row r="8">
      <c r="A8" t="n">
        <v>2029</v>
      </c>
      <c r="B8" s="4">
        <f>U7</f>
        <v/>
      </c>
      <c r="C8" s="4">
        <f>V7</f>
        <v/>
      </c>
      <c r="D8" s="4">
        <f>W7</f>
        <v/>
      </c>
      <c r="E8" s="4">
        <f>X7</f>
        <v/>
      </c>
      <c r="F8" s="4">
        <f>Y7</f>
        <v/>
      </c>
      <c r="G8" s="4">
        <f>'operating_model'!$F17</f>
        <v/>
      </c>
      <c r="H8" s="4">
        <f>C8*'debt_setup'!$B9</f>
        <v/>
      </c>
      <c r="I8" s="4">
        <f>D8*'debt_setup'!$C9</f>
        <v/>
      </c>
      <c r="J8" s="4">
        <f>E8*'historicals_input'!$B31</f>
        <v/>
      </c>
      <c r="K8" s="4">
        <f>E8*'historicals_input'!$B32</f>
        <v/>
      </c>
      <c r="L8" s="4">
        <f>F8*'historicals_input'!$B33</f>
        <v/>
      </c>
      <c r="M8" s="4">
        <f>B8+G8-H8-I8-J8-L8</f>
        <v/>
      </c>
      <c r="N8" s="4">
        <f>MIN(C8*'debt_setup'!$B11,C8)</f>
        <v/>
      </c>
      <c r="O8" s="4">
        <f>MIN(MAX(M8-N8-'historicals_input'!$B22,0),F8)</f>
        <v/>
      </c>
      <c r="P8" s="4">
        <f>M8-N8-O8</f>
        <v/>
      </c>
      <c r="Q8" s="4">
        <f>MAX(P8-'historicals_input'!$B22,0)*'historicals_input'!$B36</f>
        <v/>
      </c>
      <c r="R8" s="4">
        <f>MIN(Q8,D8)</f>
        <v/>
      </c>
      <c r="S8" s="4">
        <f>MIN(MAX(Q8-R8,0),MAX(C8-N8,0))</f>
        <v/>
      </c>
      <c r="T8" s="4">
        <f>MIN(MAX(Q8-R8-S8,0),E8+K8)</f>
        <v/>
      </c>
      <c r="U8" s="4">
        <f>MIN(MAX('historicals_input'!$B22-(P8-R8-S8-T8),0),MAX('historicals_input'!$B34-F8+O8,0))</f>
        <v/>
      </c>
      <c r="V8" s="4">
        <f>MAX('historicals_input'!$B22-(P8-R8-S8-T8-U8),0)</f>
        <v/>
      </c>
      <c r="W8" s="4">
        <f>P8-R8-S8-T8+U8</f>
        <v/>
      </c>
      <c r="X8" s="4">
        <f>MAX(C8-N8-S8,0)</f>
        <v/>
      </c>
      <c r="Y8" s="4">
        <f>MAX(D8-R8,0)</f>
        <v/>
      </c>
      <c r="Z8" s="4">
        <f>MAX(E8+K8-T8,0)</f>
        <v/>
      </c>
      <c r="AA8" s="4">
        <f>MAX(F8-O8+U8,0)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LBO Returns</t>
        </is>
      </c>
    </row>
    <row r="2"/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Entry EV</t>
        </is>
      </c>
      <c r="B4" s="4">
        <f>'sources_uses'!$B5</f>
        <v/>
      </c>
    </row>
    <row r="5">
      <c r="A5" t="inlineStr">
        <is>
          <t>Entry TLA Debt</t>
        </is>
      </c>
      <c r="B5" s="4">
        <f>'sources_uses'!$B$14</f>
        <v/>
      </c>
    </row>
    <row r="6">
      <c r="A6" t="inlineStr">
        <is>
          <t>Entry TLB Debt</t>
        </is>
      </c>
      <c r="B6" s="4">
        <f>'sources_uses'!$B$15</f>
        <v/>
      </c>
    </row>
    <row r="7">
      <c r="A7" t="inlineStr">
        <is>
          <t>Entry Sub Debt</t>
        </is>
      </c>
      <c r="B7" s="4">
        <f>'sources_uses'!$B16</f>
        <v/>
      </c>
    </row>
    <row r="8">
      <c r="A8" t="inlineStr">
        <is>
          <t>Entry Net Debt</t>
        </is>
      </c>
      <c r="B8" s="4">
        <f>SUM(B5:B7)</f>
        <v/>
      </c>
    </row>
    <row r="9">
      <c r="A9" t="inlineStr">
        <is>
          <t>Sponsor Equity</t>
        </is>
      </c>
      <c r="B9" s="4">
        <f>'sources_uses'!$B19</f>
        <v/>
      </c>
    </row>
    <row r="10">
      <c r="A10" t="inlineStr">
        <is>
          <t>Entry Debt / EBITDA</t>
        </is>
      </c>
      <c r="B10" s="9">
        <f>IFERROR(B8/'historicals_input'!$B13,0)</f>
        <v/>
      </c>
    </row>
    <row r="11">
      <c r="A11" t="inlineStr">
        <is>
          <t>Exit EBITDA</t>
        </is>
      </c>
      <c r="B11" s="4">
        <f>'operating_model'!$F7</f>
        <v/>
      </c>
    </row>
    <row r="12">
      <c r="A12" t="inlineStr">
        <is>
          <t>Exit Multiple</t>
        </is>
      </c>
      <c r="B12" s="6">
        <f>'historicals_input'!$B45</f>
        <v/>
      </c>
    </row>
    <row r="13">
      <c r="A13" t="inlineStr">
        <is>
          <t>Exit EV</t>
        </is>
      </c>
      <c r="B13" s="4">
        <f>B11*B12</f>
        <v/>
      </c>
    </row>
    <row r="14">
      <c r="A14" t="inlineStr">
        <is>
          <t>Exit TLA Debt</t>
        </is>
      </c>
      <c r="B14" s="4">
        <f>'debt_schedule'!$X8</f>
        <v/>
      </c>
    </row>
    <row r="15">
      <c r="A15" t="inlineStr">
        <is>
          <t>Exit TLB Debt</t>
        </is>
      </c>
      <c r="B15" s="4">
        <f>'debt_schedule'!$Y8</f>
        <v/>
      </c>
    </row>
    <row r="16">
      <c r="A16" t="inlineStr">
        <is>
          <t>Exit Sub Debt</t>
        </is>
      </c>
      <c r="B16" s="4">
        <f>'debt_schedule'!$Z8</f>
        <v/>
      </c>
    </row>
    <row r="17">
      <c r="A17" t="inlineStr">
        <is>
          <t>Exit Revolver</t>
        </is>
      </c>
      <c r="B17" s="4">
        <f>'debt_schedule'!$AA8</f>
        <v/>
      </c>
    </row>
    <row r="18">
      <c r="A18" t="inlineStr">
        <is>
          <t>Exit Cash</t>
        </is>
      </c>
      <c r="B18" s="4">
        <f>'debt_schedule'!$W8</f>
        <v/>
      </c>
    </row>
    <row r="19">
      <c r="A19" t="inlineStr">
        <is>
          <t>Exit Net Debt</t>
        </is>
      </c>
      <c r="B19" s="4">
        <f>SUM(B14:B17)-B18</f>
        <v/>
      </c>
    </row>
    <row r="20">
      <c r="A20" t="inlineStr">
        <is>
          <t>Exit Debt / EBITDA</t>
        </is>
      </c>
      <c r="B20" s="9">
        <f>IFERROR(B19/B11,0)</f>
        <v/>
      </c>
    </row>
    <row r="21">
      <c r="A21" t="inlineStr">
        <is>
          <t>Debt Paydown</t>
        </is>
      </c>
      <c r="B21" s="4">
        <f>B8-B19</f>
        <v/>
      </c>
    </row>
    <row r="22">
      <c r="A22" t="inlineStr">
        <is>
          <t>Exit Equity Value</t>
        </is>
      </c>
      <c r="B22" s="4">
        <f>B13-SUM(B14:B17)+B18</f>
        <v/>
      </c>
    </row>
    <row r="23">
      <c r="A23" t="inlineStr">
        <is>
          <t>MOIC</t>
        </is>
      </c>
      <c r="B23" s="9">
        <f>IFERROR(B22/B9,0)</f>
        <v/>
      </c>
    </row>
    <row r="24">
      <c r="A24" t="inlineStr">
        <is>
          <t>IRR</t>
        </is>
      </c>
      <c r="B24" s="5">
        <f>IFERROR(B23^(1/5)-1,0)</f>
        <v/>
      </c>
    </row>
    <row r="25">
      <c r="A25" t="inlineStr">
        <is>
          <t>Revenue CAGR</t>
        </is>
      </c>
      <c r="B25" s="5">
        <f>IFERROR((operating_model!F4/historicals_input!B7)^(1/5)-1,0)</f>
        <v/>
      </c>
    </row>
    <row r="26">
      <c r="A26" t="inlineStr">
        <is>
          <t>EBITDA CAGR</t>
        </is>
      </c>
      <c r="B26" s="5">
        <f>IFERROR((B11/historicals_input!C7)^(1/5)-1,0)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7" customWidth="1" min="10" max="10"/>
  </cols>
  <sheetData>
    <row r="1">
      <c r="A1" s="1" t="inlineStr">
        <is>
          <t>Valuation</t>
        </is>
      </c>
    </row>
    <row r="2"/>
    <row r="3">
      <c r="A3" s="2" t="inlineStr">
        <is>
          <t>WACC</t>
        </is>
      </c>
      <c r="D3" s="2" t="inlineStr">
        <is>
          <t>DCF</t>
        </is>
      </c>
    </row>
    <row r="4">
      <c r="A4" s="3" t="inlineStr">
        <is>
          <t>Metric</t>
        </is>
      </c>
      <c r="B4" s="3" t="inlineStr">
        <is>
          <t>Value</t>
        </is>
      </c>
      <c r="D4" s="3" t="inlineStr">
        <is>
          <t>Metric</t>
        </is>
      </c>
      <c r="E4" s="3" t="inlineStr">
        <is>
          <t>2025E</t>
        </is>
      </c>
      <c r="F4" s="3" t="inlineStr">
        <is>
          <t>2026E</t>
        </is>
      </c>
      <c r="G4" s="3" t="inlineStr">
        <is>
          <t>2027E</t>
        </is>
      </c>
      <c r="H4" s="3" t="inlineStr">
        <is>
          <t>2028E</t>
        </is>
      </c>
      <c r="I4" s="3" t="inlineStr">
        <is>
          <t>2029E</t>
        </is>
      </c>
      <c r="J4" s="3" t="inlineStr">
        <is>
          <t>Total</t>
        </is>
      </c>
    </row>
    <row r="5">
      <c r="A5" t="inlineStr">
        <is>
          <t>Risk Free Rate</t>
        </is>
      </c>
      <c r="B5" s="5">
        <f>'historicals_input'!$B40</f>
        <v/>
      </c>
      <c r="D5" t="inlineStr">
        <is>
          <t>UFCF</t>
        </is>
      </c>
      <c r="E5">
        <f>'operating_model'!$B17</f>
        <v/>
      </c>
      <c r="F5">
        <f>'operating_model'!$C17</f>
        <v/>
      </c>
      <c r="G5">
        <f>'operating_model'!$D17</f>
        <v/>
      </c>
      <c r="H5">
        <f>'operating_model'!$E17</f>
        <v/>
      </c>
      <c r="I5">
        <f>'operating_model'!$F17</f>
        <v/>
      </c>
    </row>
    <row r="6">
      <c r="A6" t="inlineStr">
        <is>
          <t>Beta</t>
        </is>
      </c>
      <c r="B6" s="8">
        <f>'historicals_input'!$B41</f>
        <v/>
      </c>
      <c r="D6" t="inlineStr">
        <is>
          <t>Discount Factor</t>
        </is>
      </c>
      <c r="E6">
        <f>1/(1+'valuation'!$B14)^1</f>
        <v/>
      </c>
      <c r="F6">
        <f>1/(1+'valuation'!$B14)^2</f>
        <v/>
      </c>
      <c r="G6">
        <f>1/(1+'valuation'!$B14)^3</f>
        <v/>
      </c>
      <c r="H6">
        <f>1/(1+'valuation'!$B14)^4</f>
        <v/>
      </c>
      <c r="I6">
        <f>1/(1+'valuation'!$B14)^5</f>
        <v/>
      </c>
    </row>
    <row r="7">
      <c r="A7" t="inlineStr">
        <is>
          <t>Market Risk Premium</t>
        </is>
      </c>
      <c r="B7" s="5">
        <f>'historicals_input'!$B42</f>
        <v/>
      </c>
      <c r="D7" t="inlineStr">
        <is>
          <t>PV of UFCF</t>
        </is>
      </c>
      <c r="E7">
        <f>E5*E6</f>
        <v/>
      </c>
      <c r="F7">
        <f>F5*F6</f>
        <v/>
      </c>
      <c r="G7">
        <f>G5*G6</f>
        <v/>
      </c>
      <c r="H7">
        <f>H5*H6</f>
        <v/>
      </c>
      <c r="I7">
        <f>I5*I6</f>
        <v/>
      </c>
    </row>
    <row r="8">
      <c r="A8" t="inlineStr">
        <is>
          <t>Cost of Equity</t>
        </is>
      </c>
      <c r="B8" s="5">
        <f>B5+B6*B7</f>
        <v/>
      </c>
    </row>
    <row r="9">
      <c r="A9" t="inlineStr">
        <is>
          <t>Pre-Tax Cost of Debt</t>
        </is>
      </c>
      <c r="B9" s="5">
        <f>'historicals_input'!$B43</f>
        <v/>
      </c>
      <c r="D9" t="inlineStr">
        <is>
          <t>Terminal Growth</t>
        </is>
      </c>
      <c r="E9">
        <f>'historicals_input'!$B44</f>
        <v/>
      </c>
    </row>
    <row r="10">
      <c r="A10" t="inlineStr">
        <is>
          <t>Tax Rate</t>
        </is>
      </c>
      <c r="B10" s="5">
        <f>'historicals_input'!$B39</f>
        <v/>
      </c>
      <c r="D10" t="inlineStr">
        <is>
          <t>Exit Multiple</t>
        </is>
      </c>
      <c r="E10">
        <f>'historicals_input'!$B45</f>
        <v/>
      </c>
    </row>
    <row r="11">
      <c r="A11" t="inlineStr">
        <is>
          <t>After-Tax Cost of Debt</t>
        </is>
      </c>
      <c r="B11" s="5">
        <f>B9*(1-B10)</f>
        <v/>
      </c>
      <c r="D11" t="inlineStr">
        <is>
          <t>Terminal Value (PGR)</t>
        </is>
      </c>
      <c r="E11">
        <f>(I5*(1+E9))/MAX('valuation'!$B14-E9,0.0001)</f>
        <v/>
      </c>
    </row>
    <row r="12">
      <c r="A12" t="inlineStr">
        <is>
          <t>Equity Weight</t>
        </is>
      </c>
      <c r="B12" s="5">
        <f>'returns'!$B9/('returns'!$B9+'sources_uses'!$B$14+'sources_uses'!$B$15+'sources_uses'!$B16)</f>
        <v/>
      </c>
      <c r="D12" t="inlineStr">
        <is>
          <t>Terminal Value (Multiple)</t>
        </is>
      </c>
      <c r="E12">
        <f>'operating_model'!$F7*E10</f>
        <v/>
      </c>
    </row>
    <row r="13">
      <c r="A13" t="inlineStr">
        <is>
          <t>Debt Weight</t>
        </is>
      </c>
      <c r="B13" s="5">
        <f>1-B12</f>
        <v/>
      </c>
      <c r="D13" t="inlineStr">
        <is>
          <t>PV Terminal Value (PGR)</t>
        </is>
      </c>
      <c r="E13">
        <f>E11/(1+'valuation'!$B14)^5</f>
        <v/>
      </c>
    </row>
    <row r="14">
      <c r="A14" t="inlineStr">
        <is>
          <t>WACC</t>
        </is>
      </c>
      <c r="B14" s="5">
        <f>B12*B8+B13*B11</f>
        <v/>
      </c>
      <c r="D14" t="inlineStr">
        <is>
          <t>PV Terminal Value (Multiple)</t>
        </is>
      </c>
      <c r="E14">
        <f>E12/(1+'valuation'!$B14)^5</f>
        <v/>
      </c>
    </row>
    <row r="15">
      <c r="D15" t="inlineStr">
        <is>
          <t>PV Explicit Period</t>
        </is>
      </c>
      <c r="E15" s="4">
        <f>SUM(E7:I7)</f>
        <v/>
      </c>
    </row>
    <row r="16">
      <c r="D16" t="inlineStr">
        <is>
          <t>Enterprise Value (PGR)</t>
        </is>
      </c>
      <c r="E16" s="4">
        <f>E15+E13</f>
        <v/>
      </c>
    </row>
    <row r="17">
      <c r="D17" t="inlineStr">
        <is>
          <t>Enterprise Value (Multiple)</t>
        </is>
      </c>
      <c r="E17" s="4">
        <f>E15+E14</f>
        <v/>
      </c>
    </row>
    <row r="18">
      <c r="D18" t="inlineStr">
        <is>
          <t>Equity Value (PGR)</t>
        </is>
      </c>
      <c r="E18" s="4">
        <f>E16-'debt_schedule'!$X$8+'debt_schedule'!$Y$8-'debt_schedule'!$Z8-'debt_schedule'!$AA8+'debt_schedule'!$W8</f>
        <v/>
      </c>
    </row>
    <row r="19">
      <c r="D19" t="inlineStr">
        <is>
          <t>Equity Value (Multiple)</t>
        </is>
      </c>
      <c r="E19" s="4">
        <f>E17-'debt_schedule'!$X$8+'debt_schedule'!$Y$8-'debt_schedule'!$Z8-'debt_schedule'!$AA8+'debt_schedule'!$W8</f>
        <v/>
      </c>
    </row>
    <row r="20">
      <c r="D20" t="inlineStr">
        <is>
          <t>Share Price (PGR)</t>
        </is>
      </c>
      <c r="E20" s="10">
        <f>E18/'historicals_input'!$B12</f>
        <v/>
      </c>
    </row>
    <row r="21">
      <c r="D21" t="inlineStr">
        <is>
          <t>Share Price (Multiple)</t>
        </is>
      </c>
      <c r="E21" s="10">
        <f>E19/'historicals_input'!$B12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Sensitivities</t>
        </is>
      </c>
    </row>
    <row r="2"/>
    <row r="3">
      <c r="A3" s="2" t="inlineStr">
        <is>
          <t>DCF: WACC vs Terminal Growth</t>
        </is>
      </c>
    </row>
    <row r="4"/>
    <row r="5">
      <c r="A5" s="3" t="inlineStr">
        <is>
          <t>WACC \ Growth</t>
        </is>
      </c>
      <c r="B5" s="3" t="n">
        <v>0.015</v>
      </c>
      <c r="C5" s="3" t="n">
        <v>0.02</v>
      </c>
      <c r="D5" s="3" t="n">
        <v>0.025</v>
      </c>
      <c r="E5" s="3" t="n">
        <v>0.03</v>
      </c>
      <c r="F5" s="3" t="n">
        <v>0.035</v>
      </c>
    </row>
    <row r="6">
      <c r="A6" t="n">
        <v>0.104</v>
      </c>
      <c r="B6" s="10">
        <f>(SUMPRODUCT(valuation!E5:I5,1/(1+A6)^{1,2,3,4,5})+((valuation!I5*(1+B5))/MAX(A6-B5,0.0001))/(1+A6)^5-'debt_schedule'!$X$8+'debt_schedule'!$Y$8-'debt_schedule'!$Z8-'debt_schedule'!$AA8+'debt_schedule'!$W8)/'historicals_input'!$B12</f>
        <v/>
      </c>
      <c r="C6" s="10">
        <f>(SUMPRODUCT(valuation!E5:I5,1/(1+A6)^{1,2,3,4,5})+((valuation!I5*(1+C5))/MAX(A6-C5,0.0001))/(1+A6)^5-'debt_schedule'!$X$8+'debt_schedule'!$Y$8-'debt_schedule'!$Z8-'debt_schedule'!$AA8+'debt_schedule'!$W8)/'historicals_input'!$B12</f>
        <v/>
      </c>
      <c r="D6" s="10">
        <f>(SUMPRODUCT(valuation!E5:I5,1/(1+A6)^{1,2,3,4,5})+((valuation!I5*(1+D5))/MAX(A6-D5,0.0001))/(1+A6)^5-'debt_schedule'!$X$8+'debt_schedule'!$Y$8-'debt_schedule'!$Z8-'debt_schedule'!$AA8+'debt_schedule'!$W8)/'historicals_input'!$B12</f>
        <v/>
      </c>
      <c r="E6" s="10">
        <f>(SUMPRODUCT(valuation!E5:I5,1/(1+A6)^{1,2,3,4,5})+((valuation!I5*(1+E5))/MAX(A6-E5,0.0001))/(1+A6)^5-'debt_schedule'!$X$8+'debt_schedule'!$Y$8-'debt_schedule'!$Z8-'debt_schedule'!$AA8+'debt_schedule'!$W8)/'historicals_input'!$B12</f>
        <v/>
      </c>
      <c r="F6" s="10">
        <f>(SUMPRODUCT(valuation!E5:I5,1/(1+A6)^{1,2,3,4,5})+((valuation!I5*(1+F5))/MAX(A6-F5,0.0001))/(1+A6)^5-'debt_schedule'!$X$8+'debt_schedule'!$Y$8-'debt_schedule'!$Z8-'debt_schedule'!$AA8+'debt_schedule'!$W8)/'historicals_input'!$B12</f>
        <v/>
      </c>
    </row>
    <row r="7">
      <c r="A7" t="n">
        <v>0.109</v>
      </c>
      <c r="B7" s="10">
        <f>(SUMPRODUCT(valuation!E5:I5,1/(1+A7)^{1,2,3,4,5})+((valuation!I5*(1+B5))/MAX(A7-B5,0.0001))/(1+A7)^5-'debt_schedule'!$X$8+'debt_schedule'!$Y$8-'debt_schedule'!$Z8-'debt_schedule'!$AA8+'debt_schedule'!$W8)/'historicals_input'!$B12</f>
        <v/>
      </c>
      <c r="C7" s="10">
        <f>(SUMPRODUCT(valuation!E5:I5,1/(1+A7)^{1,2,3,4,5})+((valuation!I5*(1+C5))/MAX(A7-C5,0.0001))/(1+A7)^5-'debt_schedule'!$X$8+'debt_schedule'!$Y$8-'debt_schedule'!$Z8-'debt_schedule'!$AA8+'debt_schedule'!$W8)/'historicals_input'!$B12</f>
        <v/>
      </c>
      <c r="D7" s="10">
        <f>(SUMPRODUCT(valuation!E5:I5,1/(1+A7)^{1,2,3,4,5})+((valuation!I5*(1+D5))/MAX(A7-D5,0.0001))/(1+A7)^5-'debt_schedule'!$X$8+'debt_schedule'!$Y$8-'debt_schedule'!$Z8-'debt_schedule'!$AA8+'debt_schedule'!$W8)/'historicals_input'!$B12</f>
        <v/>
      </c>
      <c r="E7" s="10">
        <f>(SUMPRODUCT(valuation!E5:I5,1/(1+A7)^{1,2,3,4,5})+((valuation!I5*(1+E5))/MAX(A7-E5,0.0001))/(1+A7)^5-'debt_schedule'!$X$8+'debt_schedule'!$Y$8-'debt_schedule'!$Z8-'debt_schedule'!$AA8+'debt_schedule'!$W8)/'historicals_input'!$B12</f>
        <v/>
      </c>
      <c r="F7" s="10">
        <f>(SUMPRODUCT(valuation!E5:I5,1/(1+A7)^{1,2,3,4,5})+((valuation!I5*(1+F5))/MAX(A7-F5,0.0001))/(1+A7)^5-'debt_schedule'!$X$8+'debt_schedule'!$Y$8-'debt_schedule'!$Z8-'debt_schedule'!$AA8+'debt_schedule'!$W8)/'historicals_input'!$B12</f>
        <v/>
      </c>
    </row>
    <row r="8">
      <c r="A8" t="n">
        <v>0.114</v>
      </c>
      <c r="B8" s="10">
        <f>(SUMPRODUCT(valuation!E5:I5,1/(1+A8)^{1,2,3,4,5})+((valuation!I5*(1+B5))/MAX(A8-B5,0.0001))/(1+A8)^5-'debt_schedule'!$X$8+'debt_schedule'!$Y$8-'debt_schedule'!$Z8-'debt_schedule'!$AA8+'debt_schedule'!$W8)/'historicals_input'!$B12</f>
        <v/>
      </c>
      <c r="C8" s="10">
        <f>(SUMPRODUCT(valuation!E5:I5,1/(1+A8)^{1,2,3,4,5})+((valuation!I5*(1+C5))/MAX(A8-C5,0.0001))/(1+A8)^5-'debt_schedule'!$X$8+'debt_schedule'!$Y$8-'debt_schedule'!$Z8-'debt_schedule'!$AA8+'debt_schedule'!$W8)/'historicals_input'!$B12</f>
        <v/>
      </c>
      <c r="D8" s="10">
        <f>(SUMPRODUCT(valuation!E5:I5,1/(1+A8)^{1,2,3,4,5})+((valuation!I5*(1+D5))/MAX(A8-D5,0.0001))/(1+A8)^5-'debt_schedule'!$X$8+'debt_schedule'!$Y$8-'debt_schedule'!$Z8-'debt_schedule'!$AA8+'debt_schedule'!$W8)/'historicals_input'!$B12</f>
        <v/>
      </c>
      <c r="E8" s="10">
        <f>(SUMPRODUCT(valuation!E5:I5,1/(1+A8)^{1,2,3,4,5})+((valuation!I5*(1+E5))/MAX(A8-E5,0.0001))/(1+A8)^5-'debt_schedule'!$X$8+'debt_schedule'!$Y$8-'debt_schedule'!$Z8-'debt_schedule'!$AA8+'debt_schedule'!$W8)/'historicals_input'!$B12</f>
        <v/>
      </c>
      <c r="F8" s="10">
        <f>(SUMPRODUCT(valuation!E5:I5,1/(1+A8)^{1,2,3,4,5})+((valuation!I5*(1+F5))/MAX(A8-F5,0.0001))/(1+A8)^5-'debt_schedule'!$X$8+'debt_schedule'!$Y$8-'debt_schedule'!$Z8-'debt_schedule'!$AA8+'debt_schedule'!$W8)/'historicals_input'!$B12</f>
        <v/>
      </c>
    </row>
    <row r="9">
      <c r="A9" t="n">
        <v>0.119</v>
      </c>
      <c r="B9" s="10">
        <f>(SUMPRODUCT(valuation!E5:I5,1/(1+A9)^{1,2,3,4,5})+((valuation!I5*(1+B5))/MAX(A9-B5,0.0001))/(1+A9)^5-'debt_schedule'!$X$8+'debt_schedule'!$Y$8-'debt_schedule'!$Z8-'debt_schedule'!$AA8+'debt_schedule'!$W8)/'historicals_input'!$B12</f>
        <v/>
      </c>
      <c r="C9" s="10">
        <f>(SUMPRODUCT(valuation!E5:I5,1/(1+A9)^{1,2,3,4,5})+((valuation!I5*(1+C5))/MAX(A9-C5,0.0001))/(1+A9)^5-'debt_schedule'!$X$8+'debt_schedule'!$Y$8-'debt_schedule'!$Z8-'debt_schedule'!$AA8+'debt_schedule'!$W8)/'historicals_input'!$B12</f>
        <v/>
      </c>
      <c r="D9" s="10">
        <f>(SUMPRODUCT(valuation!E5:I5,1/(1+A9)^{1,2,3,4,5})+((valuation!I5*(1+D5))/MAX(A9-D5,0.0001))/(1+A9)^5-'debt_schedule'!$X$8+'debt_schedule'!$Y$8-'debt_schedule'!$Z8-'debt_schedule'!$AA8+'debt_schedule'!$W8)/'historicals_input'!$B12</f>
        <v/>
      </c>
      <c r="E9" s="10">
        <f>(SUMPRODUCT(valuation!E5:I5,1/(1+A9)^{1,2,3,4,5})+((valuation!I5*(1+E5))/MAX(A9-E5,0.0001))/(1+A9)^5-'debt_schedule'!$X$8+'debt_schedule'!$Y$8-'debt_schedule'!$Z8-'debt_schedule'!$AA8+'debt_schedule'!$W8)/'historicals_input'!$B12</f>
        <v/>
      </c>
      <c r="F9" s="10">
        <f>(SUMPRODUCT(valuation!E5:I5,1/(1+A9)^{1,2,3,4,5})+((valuation!I5*(1+F5))/MAX(A9-F5,0.0001))/(1+A9)^5-'debt_schedule'!$X$8+'debt_schedule'!$Y$8-'debt_schedule'!$Z8-'debt_schedule'!$AA8+'debt_schedule'!$W8)/'historicals_input'!$B12</f>
        <v/>
      </c>
    </row>
    <row r="10">
      <c r="A10" t="n">
        <v>0.124</v>
      </c>
      <c r="B10" s="10">
        <f>(SUMPRODUCT(valuation!E5:I5,1/(1+A10)^{1,2,3,4,5})+((valuation!I5*(1+B5))/MAX(A10-B5,0.0001))/(1+A10)^5-'debt_schedule'!$X$8+'debt_schedule'!$Y$8-'debt_schedule'!$Z8-'debt_schedule'!$AA8+'debt_schedule'!$W8)/'historicals_input'!$B12</f>
        <v/>
      </c>
      <c r="C10" s="10">
        <f>(SUMPRODUCT(valuation!E5:I5,1/(1+A10)^{1,2,3,4,5})+((valuation!I5*(1+C5))/MAX(A10-C5,0.0001))/(1+A10)^5-'debt_schedule'!$X$8+'debt_schedule'!$Y$8-'debt_schedule'!$Z8-'debt_schedule'!$AA8+'debt_schedule'!$W8)/'historicals_input'!$B12</f>
        <v/>
      </c>
      <c r="D10" s="10">
        <f>(SUMPRODUCT(valuation!E5:I5,1/(1+A10)^{1,2,3,4,5})+((valuation!I5*(1+D5))/MAX(A10-D5,0.0001))/(1+A10)^5-'debt_schedule'!$X$8+'debt_schedule'!$Y$8-'debt_schedule'!$Z8-'debt_schedule'!$AA8+'debt_schedule'!$W8)/'historicals_input'!$B12</f>
        <v/>
      </c>
      <c r="E10" s="10">
        <f>(SUMPRODUCT(valuation!E5:I5,1/(1+A10)^{1,2,3,4,5})+((valuation!I5*(1+E5))/MAX(A10-E5,0.0001))/(1+A10)^5-'debt_schedule'!$X$8+'debt_schedule'!$Y$8-'debt_schedule'!$Z8-'debt_schedule'!$AA8+'debt_schedule'!$W8)/'historicals_input'!$B12</f>
        <v/>
      </c>
      <c r="F10" s="10">
        <f>(SUMPRODUCT(valuation!E5:I5,1/(1+A10)^{1,2,3,4,5})+((valuation!I5*(1+F5))/MAX(A10-F5,0.0001))/(1+A10)^5-'debt_schedule'!$X$8+'debt_schedule'!$Y$8-'debt_schedule'!$Z8-'debt_schedule'!$AA8+'debt_schedule'!$W8)/'historicals_input'!$B12</f>
        <v/>
      </c>
    </row>
    <row r="11"/>
    <row r="12"/>
    <row r="13">
      <c r="A13" s="2" t="inlineStr">
        <is>
          <t>LBO: Exit Multiple vs Exit EBITDA Adj.</t>
        </is>
      </c>
    </row>
    <row r="14"/>
    <row r="15">
      <c r="A15" s="3" t="inlineStr">
        <is>
          <t>Exit Multiple \ EBITDA Adj.</t>
        </is>
      </c>
      <c r="B15" s="3" t="n">
        <v>-0.1</v>
      </c>
      <c r="C15" s="3" t="n">
        <v>-0.05</v>
      </c>
      <c r="D15" s="3" t="n">
        <v>0</v>
      </c>
      <c r="E15" s="3" t="n">
        <v>0.05</v>
      </c>
      <c r="F15" s="3" t="n">
        <v>0.1</v>
      </c>
    </row>
    <row r="16">
      <c r="A16" t="n">
        <v>9</v>
      </c>
      <c r="B16" s="9">
        <f>((('returns'!$B11*(1+B15))*A16)-'debt_schedule'!$X$8+'debt_schedule'!$Y$8-'debt_schedule'!$Z8-'debt_schedule'!$AA8+'debt_schedule'!$W8)/'returns'!$B9</f>
        <v/>
      </c>
      <c r="C16" s="9">
        <f>((('returns'!$B11*(1+C15))*A16)-'debt_schedule'!$X$8+'debt_schedule'!$Y$8-'debt_schedule'!$Z8-'debt_schedule'!$AA8+'debt_schedule'!$W8)/'returns'!$B9</f>
        <v/>
      </c>
      <c r="D16" s="9">
        <f>((('returns'!$B11*(1+D15))*A16)-'debt_schedule'!$X$8+'debt_schedule'!$Y$8-'debt_schedule'!$Z8-'debt_schedule'!$AA8+'debt_schedule'!$W8)/'returns'!$B9</f>
        <v/>
      </c>
      <c r="E16" s="9">
        <f>((('returns'!$B11*(1+E15))*A16)-'debt_schedule'!$X$8+'debt_schedule'!$Y$8-'debt_schedule'!$Z8-'debt_schedule'!$AA8+'debt_schedule'!$W8)/'returns'!$B9</f>
        <v/>
      </c>
      <c r="F16" s="9">
        <f>((('returns'!$B11*(1+F15))*A16)-'debt_schedule'!$X$8+'debt_schedule'!$Y$8-'debt_schedule'!$Z8-'debt_schedule'!$AA8+'debt_schedule'!$W8)/'returns'!$B9</f>
        <v/>
      </c>
    </row>
    <row r="17">
      <c r="A17" t="n">
        <v>9.5</v>
      </c>
      <c r="B17" s="9">
        <f>((('returns'!$B11*(1+B15))*A17)-'debt_schedule'!$X$8+'debt_schedule'!$Y$8-'debt_schedule'!$Z8-'debt_schedule'!$AA8+'debt_schedule'!$W8)/'returns'!$B9</f>
        <v/>
      </c>
      <c r="C17" s="9">
        <f>((('returns'!$B11*(1+C15))*A17)-'debt_schedule'!$X$8+'debt_schedule'!$Y$8-'debt_schedule'!$Z8-'debt_schedule'!$AA8+'debt_schedule'!$W8)/'returns'!$B9</f>
        <v/>
      </c>
      <c r="D17" s="9">
        <f>((('returns'!$B11*(1+D15))*A17)-'debt_schedule'!$X$8+'debt_schedule'!$Y$8-'debt_schedule'!$Z8-'debt_schedule'!$AA8+'debt_schedule'!$W8)/'returns'!$B9</f>
        <v/>
      </c>
      <c r="E17" s="9">
        <f>((('returns'!$B11*(1+E15))*A17)-'debt_schedule'!$X$8+'debt_schedule'!$Y$8-'debt_schedule'!$Z8-'debt_schedule'!$AA8+'debt_schedule'!$W8)/'returns'!$B9</f>
        <v/>
      </c>
      <c r="F17" s="9">
        <f>((('returns'!$B11*(1+F15))*A17)-'debt_schedule'!$X$8+'debt_schedule'!$Y$8-'debt_schedule'!$Z8-'debt_schedule'!$AA8+'debt_schedule'!$W8)/'returns'!$B9</f>
        <v/>
      </c>
    </row>
    <row r="18">
      <c r="A18" t="n">
        <v>10</v>
      </c>
      <c r="B18" s="9">
        <f>((('returns'!$B11*(1+B15))*A18)-'debt_schedule'!$X$8+'debt_schedule'!$Y$8-'debt_schedule'!$Z8-'debt_schedule'!$AA8+'debt_schedule'!$W8)/'returns'!$B9</f>
        <v/>
      </c>
      <c r="C18" s="9">
        <f>((('returns'!$B11*(1+C15))*A18)-'debt_schedule'!$X$8+'debt_schedule'!$Y$8-'debt_schedule'!$Z8-'debt_schedule'!$AA8+'debt_schedule'!$W8)/'returns'!$B9</f>
        <v/>
      </c>
      <c r="D18" s="9">
        <f>((('returns'!$B11*(1+D15))*A18)-'debt_schedule'!$X$8+'debt_schedule'!$Y$8-'debt_schedule'!$Z8-'debt_schedule'!$AA8+'debt_schedule'!$W8)/'returns'!$B9</f>
        <v/>
      </c>
      <c r="E18" s="9">
        <f>((('returns'!$B11*(1+E15))*A18)-'debt_schedule'!$X$8+'debt_schedule'!$Y$8-'debt_schedule'!$Z8-'debt_schedule'!$AA8+'debt_schedule'!$W8)/'returns'!$B9</f>
        <v/>
      </c>
      <c r="F18" s="9">
        <f>((('returns'!$B11*(1+F15))*A18)-'debt_schedule'!$X$8+'debt_schedule'!$Y$8-'debt_schedule'!$Z8-'debt_schedule'!$AA8+'debt_schedule'!$W8)/'returns'!$B9</f>
        <v/>
      </c>
    </row>
    <row r="19">
      <c r="A19" t="n">
        <v>10.5</v>
      </c>
      <c r="B19" s="9">
        <f>((('returns'!$B11*(1+B15))*A19)-'debt_schedule'!$X$8+'debt_schedule'!$Y$8-'debt_schedule'!$Z8-'debt_schedule'!$AA8+'debt_schedule'!$W8)/'returns'!$B9</f>
        <v/>
      </c>
      <c r="C19" s="9">
        <f>((('returns'!$B11*(1+C15))*A19)-'debt_schedule'!$X$8+'debt_schedule'!$Y$8-'debt_schedule'!$Z8-'debt_schedule'!$AA8+'debt_schedule'!$W8)/'returns'!$B9</f>
        <v/>
      </c>
      <c r="D19" s="9">
        <f>((('returns'!$B11*(1+D15))*A19)-'debt_schedule'!$X$8+'debt_schedule'!$Y$8-'debt_schedule'!$Z8-'debt_schedule'!$AA8+'debt_schedule'!$W8)/'returns'!$B9</f>
        <v/>
      </c>
      <c r="E19" s="9">
        <f>((('returns'!$B11*(1+E15))*A19)-'debt_schedule'!$X$8+'debt_schedule'!$Y$8-'debt_schedule'!$Z8-'debt_schedule'!$AA8+'debt_schedule'!$W8)/'returns'!$B9</f>
        <v/>
      </c>
      <c r="F19" s="9">
        <f>((('returns'!$B11*(1+F15))*A19)-'debt_schedule'!$X$8+'debt_schedule'!$Y$8-'debt_schedule'!$Z8-'debt_schedule'!$AA8+'debt_schedule'!$W8)/'returns'!$B9</f>
        <v/>
      </c>
    </row>
    <row r="20">
      <c r="A20" t="n">
        <v>11</v>
      </c>
      <c r="B20" s="9">
        <f>((('returns'!$B11*(1+B15))*A20)-'debt_schedule'!$X$8+'debt_schedule'!$Y$8-'debt_schedule'!$Z8-'debt_schedule'!$AA8+'debt_schedule'!$W8)/'returns'!$B9</f>
        <v/>
      </c>
      <c r="C20" s="9">
        <f>((('returns'!$B11*(1+C15))*A20)-'debt_schedule'!$X$8+'debt_schedule'!$Y$8-'debt_schedule'!$Z8-'debt_schedule'!$AA8+'debt_schedule'!$W8)/'returns'!$B9</f>
        <v/>
      </c>
      <c r="D20" s="9">
        <f>((('returns'!$B11*(1+D15))*A20)-'debt_schedule'!$X$8+'debt_schedule'!$Y$8-'debt_schedule'!$Z8-'debt_schedule'!$AA8+'debt_schedule'!$W8)/'returns'!$B9</f>
        <v/>
      </c>
      <c r="E20" s="9">
        <f>((('returns'!$B11*(1+E15))*A20)-'debt_schedule'!$X$8+'debt_schedule'!$Y$8-'debt_schedule'!$Z8-'debt_schedule'!$AA8+'debt_schedule'!$W8)/'returns'!$B9</f>
        <v/>
      </c>
      <c r="F20" s="9">
        <f>((('returns'!$B11*(1+F15))*A20)-'debt_schedule'!$X$8+'debt_schedule'!$Y$8-'debt_schedule'!$Z8-'debt_schedule'!$AA8+'debt_schedule'!$W8)/'returns'!$B9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</cols>
  <sheetData>
    <row r="1">
      <c r="A1" s="1" t="inlineStr">
        <is>
          <t>Model Checks</t>
        </is>
      </c>
    </row>
    <row r="2"/>
    <row r="3">
      <c r="A3" s="3" t="inlineStr">
        <is>
          <t>Check</t>
        </is>
      </c>
      <c r="B3" s="3" t="inlineStr">
        <is>
          <t>Formula</t>
        </is>
      </c>
      <c r="C3" s="3" t="inlineStr">
        <is>
          <t>Status</t>
        </is>
      </c>
    </row>
    <row r="4">
      <c r="A4" t="inlineStr">
        <is>
          <t>Sources = Uses</t>
        </is>
      </c>
      <c r="B4">
        <f>ABS('sources_uses'!$B20-'sources_uses'!$B10)</f>
        <v/>
      </c>
      <c r="C4">
        <f>IF(B4&lt;1,"PASS","FAIL")</f>
        <v/>
      </c>
    </row>
    <row r="5">
      <c r="A5" t="inlineStr">
        <is>
          <t>Sponsor Equity Positive</t>
        </is>
      </c>
      <c r="B5">
        <f>'sources_uses'!$B19</f>
        <v/>
      </c>
      <c r="C5">
        <f>IF(B5&gt;0,"PASS","FAIL")</f>
        <v/>
      </c>
    </row>
    <row r="6">
      <c r="A6" t="inlineStr">
        <is>
          <t>Minimum Cash Maintained</t>
        </is>
      </c>
      <c r="B6">
        <f>MIN('debt_schedule'!$W4,'debt_schedule'!$W5,'debt_schedule'!$W6,'debt_schedule'!$W7,'debt_schedule'!$W8)-'historicals_input'!$B22</f>
        <v/>
      </c>
      <c r="C6">
        <f>IF(B6&gt;=0,"PASS","FAIL")</f>
        <v/>
      </c>
    </row>
    <row r="7">
      <c r="A7" t="inlineStr">
        <is>
          <t>No Negative Senior Debt</t>
        </is>
      </c>
      <c r="B7">
        <f>MIN('debt_schedule'!$X$4+'debt_schedule'!$Y$4,'debt_schedule'!$X$5+'debt_schedule'!$Y$5,'debt_schedule'!$X$6+'debt_schedule'!$Y$6,'debt_schedule'!$X$7+'debt_schedule'!$Y$7,'debt_schedule'!$X$8+'debt_schedule'!$Y$8)</f>
        <v/>
      </c>
      <c r="C7">
        <f>IF(B7&gt;=0,"PASS","FAIL")</f>
        <v/>
      </c>
    </row>
    <row r="8">
      <c r="A8" t="inlineStr">
        <is>
          <t>No Negative Sub Debt</t>
        </is>
      </c>
      <c r="B8">
        <f>MIN('debt_schedule'!$Z4,'debt_schedule'!$Z5,'debt_schedule'!$Z6,'debt_schedule'!$Z7,'debt_schedule'!$Z8)</f>
        <v/>
      </c>
      <c r="C8">
        <f>IF(B8&gt;=0,"PASS","FAIL")</f>
        <v/>
      </c>
    </row>
    <row r="9">
      <c r="A9" t="inlineStr">
        <is>
          <t>WACC &gt; Terminal Growth</t>
        </is>
      </c>
      <c r="B9">
        <f>'valuation'!$B14-'historicals_input'!$B44</f>
        <v/>
      </c>
      <c r="C9">
        <f>IF(B9&gt;0,"PASS","FAIL")</f>
        <v/>
      </c>
    </row>
    <row r="10">
      <c r="A10" t="inlineStr">
        <is>
          <t>Exit Equity Positive</t>
        </is>
      </c>
      <c r="B10">
        <f>'returns'!$B22</f>
        <v/>
      </c>
      <c r="C10">
        <f>IF(B10&gt;0,"PASS","FAIL")</f>
        <v/>
      </c>
    </row>
    <row r="11">
      <c r="A11" t="inlineStr">
        <is>
          <t>DCF Share Price Positive</t>
        </is>
      </c>
      <c r="B11">
        <f>'valuation'!$E21</f>
        <v/>
      </c>
      <c r="C11">
        <f>IF(B11&gt;0,"PASS","FAIL")</f>
        <v/>
      </c>
    </row>
    <row r="12">
      <c r="A12" t="inlineStr">
        <is>
          <t>Liquidity Shortfall = 0</t>
        </is>
      </c>
      <c r="B12">
        <f>MAX('debt_schedule'!$V4,'debt_schedule'!$V5,'debt_schedule'!$V6,'debt_schedule'!$V7,'debt_schedule'!$V8)</f>
        <v/>
      </c>
      <c r="C12">
        <f>IF(B12=0,"PASS","FAIL")</f>
        <v/>
      </c>
    </row>
    <row r="13">
      <c r="A13" t="inlineStr">
        <is>
          <t>Revolver Within Limit</t>
        </is>
      </c>
      <c r="B13">
        <f>MAX('debt_schedule'!$AA4,'debt_schedule'!$AA5,'debt_schedule'!$AA6,'debt_schedule'!$AA7,'debt_schedule'!$AA8)-'historicals_input'!$B34</f>
        <v/>
      </c>
      <c r="C13">
        <f>IF(B13&lt;=0,"PASS","FAIL")</f>
        <v/>
      </c>
    </row>
    <row r="14"/>
    <row r="15"/>
    <row r="16">
      <c r="A16" t="inlineStr">
        <is>
          <t>Python Safety Snapshot</t>
        </is>
      </c>
    </row>
    <row r="17">
      <c r="A17" s="3" t="inlineStr">
        <is>
          <t>Metric</t>
        </is>
      </c>
      <c r="B17" s="3" t="inlineStr">
        <is>
          <t>Python</t>
        </is>
      </c>
      <c r="C17" s="3" t="inlineStr">
        <is>
          <t>Excel</t>
        </is>
      </c>
      <c r="D17" s="3" t="inlineStr">
        <is>
          <t>Delta</t>
        </is>
      </c>
    </row>
    <row r="18">
      <c r="A18" t="inlineStr">
        <is>
          <t>DCF Share Price (PGR)</t>
        </is>
      </c>
      <c r="B18" t="n">
        <v>93.69209486764926</v>
      </c>
      <c r="C18">
        <f>'valuation'!$E20</f>
        <v/>
      </c>
      <c r="D18">
        <f>C18-B18</f>
        <v/>
      </c>
    </row>
    <row r="19">
      <c r="A19" t="inlineStr">
        <is>
          <t>DCF Share Price (Multiple)</t>
        </is>
      </c>
      <c r="B19" t="n">
        <v>91.12898270712128</v>
      </c>
      <c r="C19">
        <f>'valuation'!$E21</f>
        <v/>
      </c>
      <c r="D19">
        <f>C19-B19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" customWidth="1" min="3" max="3"/>
    <col width="22" customWidth="1" min="4" max="4"/>
    <col width="26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Dense Model Snapshot</t>
        </is>
      </c>
    </row>
    <row r="2"/>
    <row r="3">
      <c r="A3" s="2" t="inlineStr">
        <is>
          <t>Transaction Summary</t>
        </is>
      </c>
      <c r="D3" s="2" t="inlineStr">
        <is>
          <t>Operating Model</t>
        </is>
      </c>
    </row>
    <row r="4">
      <c r="A4" s="3" t="inlineStr">
        <is>
          <t>Metric</t>
        </is>
      </c>
      <c r="B4" s="3" t="inlineStr">
        <is>
          <t>Value</t>
        </is>
      </c>
      <c r="D4" s="3" t="inlineStr">
        <is>
          <t>Metric</t>
        </is>
      </c>
      <c r="E4" s="3" t="inlineStr">
        <is>
          <t>2025E</t>
        </is>
      </c>
      <c r="F4" s="3" t="inlineStr">
        <is>
          <t>2026E</t>
        </is>
      </c>
      <c r="G4" s="3" t="inlineStr">
        <is>
          <t>2027E</t>
        </is>
      </c>
      <c r="H4" s="3" t="inlineStr">
        <is>
          <t>2028E</t>
        </is>
      </c>
      <c r="I4" s="3" t="inlineStr">
        <is>
          <t>2029E</t>
        </is>
      </c>
    </row>
    <row r="5">
      <c r="A5" t="inlineStr">
        <is>
          <t>Purchase Price</t>
        </is>
      </c>
      <c r="B5">
        <f>'sources_uses'!$B5</f>
        <v/>
      </c>
      <c r="D5" t="inlineStr">
        <is>
          <t>Revenue</t>
        </is>
      </c>
      <c r="E5">
        <f>operating_model!B4</f>
        <v/>
      </c>
      <c r="F5">
        <f>operating_model!C4</f>
        <v/>
      </c>
      <c r="G5">
        <f>operating_model!D4</f>
        <v/>
      </c>
      <c r="H5">
        <f>operating_model!E4</f>
        <v/>
      </c>
      <c r="I5">
        <f>operating_model!F4</f>
        <v/>
      </c>
    </row>
    <row r="6">
      <c r="A6" t="inlineStr">
        <is>
          <t>Refinanced Debt</t>
        </is>
      </c>
      <c r="B6">
        <f>'sources_uses'!$B6</f>
        <v/>
      </c>
      <c r="D6" t="inlineStr">
        <is>
          <t>EBITDA</t>
        </is>
      </c>
      <c r="E6">
        <f>operating_model!B7</f>
        <v/>
      </c>
      <c r="F6">
        <f>operating_model!C7</f>
        <v/>
      </c>
      <c r="G6">
        <f>operating_model!D7</f>
        <v/>
      </c>
      <c r="H6">
        <f>operating_model!E7</f>
        <v/>
      </c>
      <c r="I6">
        <f>operating_model!F7</f>
        <v/>
      </c>
    </row>
    <row r="7">
      <c r="A7" t="inlineStr">
        <is>
          <t>Sponsor Equity</t>
        </is>
      </c>
      <c r="B7">
        <f>'sources_uses'!$B19</f>
        <v/>
      </c>
      <c r="D7" t="inlineStr">
        <is>
          <t>UFCF</t>
        </is>
      </c>
      <c r="E7">
        <f>operating_model!B17</f>
        <v/>
      </c>
      <c r="F7">
        <f>operating_model!C17</f>
        <v/>
      </c>
      <c r="G7">
        <f>operating_model!D17</f>
        <v/>
      </c>
      <c r="H7">
        <f>operating_model!E17</f>
        <v/>
      </c>
      <c r="I7">
        <f>operating_model!F17</f>
        <v/>
      </c>
    </row>
    <row r="8">
      <c r="A8" t="inlineStr">
        <is>
          <t>Entry EV</t>
        </is>
      </c>
      <c r="B8">
        <f>'returns'!$B4</f>
        <v/>
      </c>
    </row>
    <row r="9">
      <c r="A9" t="inlineStr">
        <is>
          <t>Exit EV</t>
        </is>
      </c>
      <c r="B9">
        <f>'returns'!$B13</f>
        <v/>
      </c>
    </row>
    <row r="10">
      <c r="A10" t="inlineStr">
        <is>
          <t>Exit Equity</t>
        </is>
      </c>
      <c r="B10">
        <f>'returns'!$B22</f>
        <v/>
      </c>
      <c r="D10" s="2" t="inlineStr">
        <is>
          <t>Debt Roll-Forward</t>
        </is>
      </c>
    </row>
    <row r="11">
      <c r="A11" t="inlineStr">
        <is>
          <t>MOIC</t>
        </is>
      </c>
      <c r="B11">
        <f>'returns'!$B23</f>
        <v/>
      </c>
      <c r="D11" s="3" t="inlineStr">
        <is>
          <t>Metric</t>
        </is>
      </c>
      <c r="E11" s="3" t="inlineStr">
        <is>
          <t>2025E</t>
        </is>
      </c>
      <c r="F11" s="3" t="inlineStr">
        <is>
          <t>2026E</t>
        </is>
      </c>
      <c r="G11" s="3" t="inlineStr">
        <is>
          <t>2027E</t>
        </is>
      </c>
      <c r="H11" s="3" t="inlineStr">
        <is>
          <t>2028E</t>
        </is>
      </c>
      <c r="I11" s="3" t="inlineStr">
        <is>
          <t>2029E</t>
        </is>
      </c>
    </row>
    <row r="12">
      <c r="A12" t="inlineStr">
        <is>
          <t>IRR</t>
        </is>
      </c>
      <c r="B12">
        <f>'returns'!$B24</f>
        <v/>
      </c>
      <c r="D12" t="inlineStr">
        <is>
          <t>End TLA</t>
        </is>
      </c>
      <c r="E12">
        <f>debt_schedule!X4</f>
        <v/>
      </c>
      <c r="F12">
        <f>debt_schedule!X5</f>
        <v/>
      </c>
      <c r="G12">
        <f>debt_schedule!X6</f>
        <v/>
      </c>
      <c r="H12">
        <f>debt_schedule!X7</f>
        <v/>
      </c>
      <c r="I12">
        <f>debt_schedule!X8</f>
        <v/>
      </c>
    </row>
    <row r="13">
      <c r="A13" t="inlineStr">
        <is>
          <t>DCF Share Price</t>
        </is>
      </c>
      <c r="B13">
        <f>'valuation'!$E21</f>
        <v/>
      </c>
      <c r="D13" t="inlineStr">
        <is>
          <t>End TLB</t>
        </is>
      </c>
      <c r="E13">
        <f>debt_schedule!Y4</f>
        <v/>
      </c>
      <c r="F13">
        <f>debt_schedule!Y5</f>
        <v/>
      </c>
      <c r="G13">
        <f>debt_schedule!Y6</f>
        <v/>
      </c>
      <c r="H13">
        <f>debt_schedule!Y7</f>
        <v/>
      </c>
      <c r="I13">
        <f>debt_schedule!Y8</f>
        <v/>
      </c>
    </row>
    <row r="14">
      <c r="D14" t="inlineStr">
        <is>
          <t>End Sub Debt</t>
        </is>
      </c>
      <c r="E14">
        <f>debt_schedule!Z4</f>
        <v/>
      </c>
      <c r="F14">
        <f>debt_schedule!Z5</f>
        <v/>
      </c>
      <c r="G14">
        <f>debt_schedule!Z6</f>
        <v/>
      </c>
      <c r="H14">
        <f>debt_schedule!Z7</f>
        <v/>
      </c>
      <c r="I14">
        <f>debt_schedule!Z8</f>
        <v/>
      </c>
    </row>
    <row r="15">
      <c r="D15" t="inlineStr">
        <is>
          <t>End Revolver</t>
        </is>
      </c>
      <c r="E15">
        <f>debt_schedule!AA4</f>
        <v/>
      </c>
      <c r="F15">
        <f>debt_schedule!AA5</f>
        <v/>
      </c>
      <c r="G15">
        <f>debt_schedule!AA6</f>
        <v/>
      </c>
      <c r="H15">
        <f>debt_schedule!AA7</f>
        <v/>
      </c>
      <c r="I15">
        <f>debt_schedule!AA8</f>
        <v/>
      </c>
    </row>
    <row r="16">
      <c r="D16" t="inlineStr">
        <is>
          <t>End Cash</t>
        </is>
      </c>
      <c r="E16">
        <f>debt_schedule!W4</f>
        <v/>
      </c>
      <c r="F16">
        <f>debt_schedule!W5</f>
        <v/>
      </c>
      <c r="G16">
        <f>debt_schedule!W6</f>
        <v/>
      </c>
      <c r="H16">
        <f>debt_schedule!W7</f>
        <v/>
      </c>
      <c r="I16">
        <f>debt_schedule!W8</f>
        <v/>
      </c>
    </row>
    <row r="17"/>
    <row r="18">
      <c r="D18" s="2" t="inlineStr">
        <is>
          <t>Sensitivity Snapshot</t>
        </is>
      </c>
    </row>
    <row r="19">
      <c r="D19" t="inlineStr">
        <is>
          <t>Avg DCF Matrix</t>
        </is>
      </c>
      <c r="E19">
        <f>AVERAGE(sensitivities!B6:F10)</f>
        <v/>
      </c>
    </row>
    <row r="20">
      <c r="D20" t="inlineStr">
        <is>
          <t>Avg LBO Matrix</t>
        </is>
      </c>
      <c r="E20">
        <f>AVERAGE(sensitivities!B16:F20)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2026-03-09T03:02:48Z</dcterms:created>
  <dcterms:modified xmlns:dcterms="http://purl.org/dc/terms/" xmlns:xsi="http://www.w3.org/2001/XMLSchema-instance" xsi:type="dcterms:W3CDTF">2026-03-09T03:02:48Z</dcterms:modified>
</cp:coreProperties>
</file>